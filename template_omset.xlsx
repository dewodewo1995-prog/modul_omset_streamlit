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sonal\Python\3.14 baru (new)\final_app\2. Modul Omset_v3.9f\"/>
    </mc:Choice>
  </mc:AlternateContent>
  <xr:revisionPtr revIDLastSave="0" documentId="13_ncr:1_{C0D64DCE-F249-4F6D-895A-6B1764F7B97C}" xr6:coauthVersionLast="47" xr6:coauthVersionMax="47" xr10:uidLastSave="{00000000-0000-0000-0000-000000000000}"/>
  <bookViews>
    <workbookView xWindow="-108" yWindow="-108" windowWidth="23256" windowHeight="13896" tabRatio="843" xr2:uid="{00000000-000D-0000-FFFF-FFFF00000000}"/>
  </bookViews>
  <sheets>
    <sheet name="ANALISA" sheetId="1" r:id="rId1"/>
    <sheet name="NIK KASIR" sheetId="2" r:id="rId2"/>
    <sheet name="INCOME EXPENSE" sheetId="3" r:id="rId3"/>
    <sheet name="SHORTAGE" sheetId="4" r:id="rId4"/>
    <sheet name="RK" sheetId="5" r:id="rId5"/>
    <sheet name="BDEPO" sheetId="6" r:id="rId6"/>
    <sheet name="statement" sheetId="7" r:id="rId7"/>
    <sheet name="KARY" sheetId="8" r:id="rId8"/>
  </sheets>
  <definedNames>
    <definedName name="_xlnm.Print_Area" localSheetId="0">ANALISA!$C$1:$AE$41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14" i="4" l="1"/>
  <c r="AJ16" i="4"/>
  <c r="AJ19" i="4"/>
  <c r="AD19" i="1"/>
  <c r="AJ22" i="4"/>
  <c r="AJ23" i="4"/>
  <c r="AJ24" i="4"/>
  <c r="AD23" i="1"/>
  <c r="AD24" i="1"/>
  <c r="AD25" i="1"/>
  <c r="AJ35" i="4"/>
  <c r="AJ37" i="4"/>
  <c r="AJ38" i="4"/>
  <c r="AJ40" i="4"/>
  <c r="AJ18" i="4"/>
  <c r="AJ39" i="4"/>
  <c r="V40" i="4"/>
  <c r="B40" i="4"/>
  <c r="B39" i="4"/>
  <c r="O38" i="4"/>
  <c r="B38" i="4"/>
  <c r="B37" i="4"/>
  <c r="AJ36" i="4"/>
  <c r="B36" i="4"/>
  <c r="B35" i="4"/>
  <c r="AJ34" i="4"/>
  <c r="AE34" i="4"/>
  <c r="T34" i="4"/>
  <c r="B34" i="4"/>
  <c r="AJ33" i="4"/>
  <c r="B33" i="4"/>
  <c r="AJ32" i="4"/>
  <c r="B32" i="4"/>
  <c r="AJ31" i="4"/>
  <c r="AB31" i="4"/>
  <c r="L31" i="4"/>
  <c r="B31" i="4"/>
  <c r="AJ30" i="4"/>
  <c r="AH30" i="4"/>
  <c r="R30" i="4"/>
  <c r="B30" i="4"/>
  <c r="AJ29" i="4"/>
  <c r="T29" i="4"/>
  <c r="O29" i="4"/>
  <c r="H29" i="4"/>
  <c r="B29" i="4"/>
  <c r="AJ28" i="4"/>
  <c r="B28" i="4"/>
  <c r="AJ27" i="4"/>
  <c r="B27" i="4"/>
  <c r="AE26" i="4"/>
  <c r="Z26" i="4"/>
  <c r="O26" i="4"/>
  <c r="B26" i="4"/>
  <c r="AJ25" i="4"/>
  <c r="V25" i="4"/>
  <c r="B25" i="4"/>
  <c r="V24" i="4"/>
  <c r="H24" i="4"/>
  <c r="D24" i="4"/>
  <c r="B24" i="4"/>
  <c r="AH23" i="4"/>
  <c r="AD23" i="4"/>
  <c r="B23" i="4"/>
  <c r="R22" i="4"/>
  <c r="O22" i="4"/>
  <c r="H22" i="4"/>
  <c r="B22" i="4"/>
  <c r="AJ21" i="4"/>
  <c r="B21" i="4"/>
  <c r="AJ20" i="4"/>
  <c r="AD20" i="4"/>
  <c r="T20" i="4"/>
  <c r="N20" i="4"/>
  <c r="B20" i="4"/>
  <c r="B19" i="4"/>
  <c r="W18" i="4"/>
  <c r="T18" i="4"/>
  <c r="O18" i="4"/>
  <c r="G18" i="4"/>
  <c r="B18" i="4"/>
  <c r="AJ17" i="4"/>
  <c r="B17" i="4"/>
  <c r="V16" i="4"/>
  <c r="F16" i="4"/>
  <c r="D16" i="4"/>
  <c r="B16" i="4"/>
  <c r="AJ15" i="4"/>
  <c r="AH15" i="4"/>
  <c r="AD15" i="4"/>
  <c r="N15" i="4"/>
  <c r="B15" i="4"/>
  <c r="AH14" i="4"/>
  <c r="AD14" i="4"/>
  <c r="T14" i="4"/>
  <c r="R14" i="4"/>
  <c r="O14" i="4"/>
  <c r="N14" i="4"/>
  <c r="B14" i="4"/>
  <c r="AJ13" i="4"/>
  <c r="U13" i="4"/>
  <c r="O13" i="4"/>
  <c r="N13" i="4"/>
  <c r="J13" i="4"/>
  <c r="E13" i="4"/>
  <c r="B13" i="4"/>
  <c r="AJ12" i="4"/>
  <c r="B12" i="4"/>
  <c r="AJ11" i="4"/>
  <c r="Z11" i="4"/>
  <c r="J11" i="4"/>
  <c r="B11" i="4"/>
  <c r="AJ10" i="4"/>
  <c r="J10" i="4"/>
  <c r="G10" i="4"/>
  <c r="B10" i="4"/>
  <c r="U8" i="4"/>
  <c r="AI6" i="4"/>
  <c r="AI33" i="4" s="1"/>
  <c r="AH6" i="4"/>
  <c r="AH36" i="4" s="1"/>
  <c r="AG6" i="4"/>
  <c r="AG36" i="4" s="1"/>
  <c r="AF6" i="4"/>
  <c r="AF18" i="4" s="1"/>
  <c r="AE6" i="4"/>
  <c r="AE39" i="4" s="1"/>
  <c r="AD6" i="4"/>
  <c r="AD34" i="4" s="1"/>
  <c r="AC6" i="4"/>
  <c r="AC34" i="4" s="1"/>
  <c r="AB6" i="4"/>
  <c r="AB37" i="4" s="1"/>
  <c r="AA6" i="4"/>
  <c r="AA37" i="4" s="1"/>
  <c r="Z6" i="4"/>
  <c r="Z40" i="4" s="1"/>
  <c r="Y6" i="4"/>
  <c r="Y40" i="4" s="1"/>
  <c r="X6" i="4"/>
  <c r="X35" i="4" s="1"/>
  <c r="W6" i="4"/>
  <c r="W35" i="4" s="1"/>
  <c r="V6" i="4"/>
  <c r="U6" i="4"/>
  <c r="U38" i="4" s="1"/>
  <c r="T6" i="4"/>
  <c r="T33" i="4" s="1"/>
  <c r="S6" i="4"/>
  <c r="R6" i="4"/>
  <c r="R36" i="4" s="1"/>
  <c r="Q6" i="4"/>
  <c r="P6" i="4"/>
  <c r="P17" i="4" s="1"/>
  <c r="O6" i="4"/>
  <c r="O39" i="4" s="1"/>
  <c r="N6" i="4"/>
  <c r="N34" i="4" s="1"/>
  <c r="M6" i="4"/>
  <c r="M34" i="4" s="1"/>
  <c r="L6" i="4"/>
  <c r="L37" i="4" s="1"/>
  <c r="K6" i="4"/>
  <c r="J6" i="4"/>
  <c r="J40" i="4" s="1"/>
  <c r="I6" i="4"/>
  <c r="H6" i="4"/>
  <c r="H35" i="4" s="1"/>
  <c r="G6" i="4"/>
  <c r="G35" i="4" s="1"/>
  <c r="F6" i="4"/>
  <c r="F40" i="4" s="1"/>
  <c r="E6" i="4"/>
  <c r="E38" i="4" s="1"/>
  <c r="D6" i="4"/>
  <c r="D33" i="4" s="1"/>
  <c r="C6" i="4"/>
  <c r="B3" i="4"/>
  <c r="B1" i="4"/>
  <c r="V40" i="1"/>
  <c r="V41" i="1" s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L38" i="1" s="1"/>
  <c r="AD38" i="1"/>
  <c r="W38" i="1"/>
  <c r="R38" i="1"/>
  <c r="Q38" i="1"/>
  <c r="P38" i="1"/>
  <c r="O38" i="1"/>
  <c r="N38" i="1"/>
  <c r="M38" i="1"/>
  <c r="K38" i="1"/>
  <c r="J38" i="1"/>
  <c r="I38" i="1"/>
  <c r="H38" i="1"/>
  <c r="G38" i="1"/>
  <c r="F38" i="1"/>
  <c r="E38" i="1"/>
  <c r="D38" i="1"/>
  <c r="A38" i="1"/>
  <c r="B38" i="1" s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D37" i="1"/>
  <c r="W37" i="1"/>
  <c r="R37" i="1"/>
  <c r="Q37" i="1"/>
  <c r="P37" i="1"/>
  <c r="O37" i="1"/>
  <c r="N37" i="1"/>
  <c r="M37" i="1"/>
  <c r="K37" i="1"/>
  <c r="J37" i="1"/>
  <c r="I37" i="1"/>
  <c r="H37" i="1"/>
  <c r="G37" i="1"/>
  <c r="F37" i="1"/>
  <c r="E37" i="1"/>
  <c r="D37" i="1"/>
  <c r="A37" i="1"/>
  <c r="B37" i="1" s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D36" i="1"/>
  <c r="W36" i="1"/>
  <c r="R36" i="1"/>
  <c r="Q36" i="1"/>
  <c r="P36" i="1"/>
  <c r="O36" i="1"/>
  <c r="N36" i="1"/>
  <c r="M36" i="1"/>
  <c r="K36" i="1"/>
  <c r="J36" i="1"/>
  <c r="I36" i="1"/>
  <c r="H36" i="1"/>
  <c r="G36" i="1"/>
  <c r="F36" i="1"/>
  <c r="E36" i="1"/>
  <c r="D36" i="1"/>
  <c r="A36" i="1"/>
  <c r="B36" i="1" s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W35" i="1"/>
  <c r="R35" i="1"/>
  <c r="Q35" i="1"/>
  <c r="P35" i="1"/>
  <c r="O35" i="1"/>
  <c r="N35" i="1"/>
  <c r="M35" i="1"/>
  <c r="K35" i="1"/>
  <c r="J35" i="1"/>
  <c r="I35" i="1"/>
  <c r="H35" i="1"/>
  <c r="G35" i="1"/>
  <c r="F35" i="1"/>
  <c r="E35" i="1"/>
  <c r="D35" i="1"/>
  <c r="A35" i="1"/>
  <c r="B35" i="1" s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D34" i="1"/>
  <c r="W34" i="1"/>
  <c r="R34" i="1"/>
  <c r="Q34" i="1"/>
  <c r="P34" i="1"/>
  <c r="O34" i="1"/>
  <c r="N34" i="1"/>
  <c r="M34" i="1"/>
  <c r="K34" i="1"/>
  <c r="J34" i="1"/>
  <c r="I34" i="1"/>
  <c r="H34" i="1"/>
  <c r="G34" i="1"/>
  <c r="F34" i="1"/>
  <c r="E34" i="1"/>
  <c r="D34" i="1"/>
  <c r="A34" i="1"/>
  <c r="B34" i="1" s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D33" i="1"/>
  <c r="W33" i="1"/>
  <c r="R33" i="1"/>
  <c r="Q33" i="1"/>
  <c r="P33" i="1"/>
  <c r="O33" i="1"/>
  <c r="N33" i="1"/>
  <c r="M33" i="1"/>
  <c r="K33" i="1"/>
  <c r="J33" i="1"/>
  <c r="I33" i="1"/>
  <c r="H33" i="1"/>
  <c r="G33" i="1"/>
  <c r="F33" i="1"/>
  <c r="E33" i="1"/>
  <c r="D33" i="1"/>
  <c r="A33" i="1"/>
  <c r="B33" i="1" s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D32" i="1"/>
  <c r="W32" i="1"/>
  <c r="R32" i="1"/>
  <c r="Q32" i="1"/>
  <c r="P32" i="1"/>
  <c r="O32" i="1"/>
  <c r="N32" i="1"/>
  <c r="M32" i="1"/>
  <c r="K32" i="1"/>
  <c r="J32" i="1"/>
  <c r="I32" i="1"/>
  <c r="H32" i="1"/>
  <c r="G32" i="1"/>
  <c r="F32" i="1"/>
  <c r="E32" i="1"/>
  <c r="D32" i="1"/>
  <c r="A32" i="1"/>
  <c r="B32" i="1" s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D31" i="1"/>
  <c r="W31" i="1"/>
  <c r="R31" i="1"/>
  <c r="Q31" i="1"/>
  <c r="P31" i="1"/>
  <c r="O31" i="1"/>
  <c r="N31" i="1"/>
  <c r="M31" i="1"/>
  <c r="K31" i="1"/>
  <c r="J31" i="1"/>
  <c r="I31" i="1"/>
  <c r="H31" i="1"/>
  <c r="G31" i="1"/>
  <c r="F31" i="1"/>
  <c r="E31" i="1"/>
  <c r="D31" i="1"/>
  <c r="A31" i="1"/>
  <c r="B31" i="1" s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D30" i="1"/>
  <c r="W30" i="1"/>
  <c r="R30" i="1"/>
  <c r="Q30" i="1"/>
  <c r="P30" i="1"/>
  <c r="O30" i="1"/>
  <c r="N30" i="1"/>
  <c r="M30" i="1"/>
  <c r="K30" i="1"/>
  <c r="J30" i="1"/>
  <c r="I30" i="1"/>
  <c r="H30" i="1"/>
  <c r="G30" i="1"/>
  <c r="F30" i="1"/>
  <c r="E30" i="1"/>
  <c r="D30" i="1"/>
  <c r="A30" i="1"/>
  <c r="B30" i="1" s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D29" i="1"/>
  <c r="W29" i="1"/>
  <c r="R29" i="1"/>
  <c r="Q29" i="1"/>
  <c r="P29" i="1"/>
  <c r="O29" i="1"/>
  <c r="N29" i="1"/>
  <c r="M29" i="1"/>
  <c r="K29" i="1"/>
  <c r="J29" i="1"/>
  <c r="I29" i="1"/>
  <c r="H29" i="1"/>
  <c r="G29" i="1"/>
  <c r="F29" i="1"/>
  <c r="E29" i="1"/>
  <c r="D29" i="1"/>
  <c r="A29" i="1"/>
  <c r="B29" i="1" s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D28" i="1"/>
  <c r="W28" i="1"/>
  <c r="R28" i="1"/>
  <c r="Q28" i="1"/>
  <c r="P28" i="1"/>
  <c r="O28" i="1"/>
  <c r="N28" i="1"/>
  <c r="M28" i="1"/>
  <c r="K28" i="1"/>
  <c r="J28" i="1"/>
  <c r="I28" i="1"/>
  <c r="H28" i="1"/>
  <c r="G28" i="1"/>
  <c r="F28" i="1"/>
  <c r="E28" i="1"/>
  <c r="D28" i="1"/>
  <c r="A28" i="1"/>
  <c r="B28" i="1" s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D27" i="1"/>
  <c r="W27" i="1"/>
  <c r="R27" i="1"/>
  <c r="Q27" i="1"/>
  <c r="P27" i="1"/>
  <c r="O27" i="1"/>
  <c r="N27" i="1"/>
  <c r="M27" i="1"/>
  <c r="K27" i="1"/>
  <c r="J27" i="1"/>
  <c r="I27" i="1"/>
  <c r="H27" i="1"/>
  <c r="G27" i="1"/>
  <c r="F27" i="1"/>
  <c r="E27" i="1"/>
  <c r="D27" i="1"/>
  <c r="A27" i="1"/>
  <c r="B27" i="1" s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D26" i="1"/>
  <c r="W26" i="1"/>
  <c r="R26" i="1"/>
  <c r="Q26" i="1"/>
  <c r="P26" i="1"/>
  <c r="O26" i="1"/>
  <c r="N26" i="1"/>
  <c r="M26" i="1"/>
  <c r="K26" i="1"/>
  <c r="J26" i="1"/>
  <c r="I26" i="1"/>
  <c r="H26" i="1"/>
  <c r="G26" i="1"/>
  <c r="F26" i="1"/>
  <c r="E26" i="1"/>
  <c r="D26" i="1"/>
  <c r="A26" i="1"/>
  <c r="B26" i="1" s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W25" i="1"/>
  <c r="R25" i="1"/>
  <c r="Q25" i="1"/>
  <c r="P25" i="1"/>
  <c r="O25" i="1"/>
  <c r="N25" i="1"/>
  <c r="M25" i="1"/>
  <c r="K25" i="1"/>
  <c r="J25" i="1"/>
  <c r="I25" i="1"/>
  <c r="H25" i="1"/>
  <c r="G25" i="1"/>
  <c r="F25" i="1"/>
  <c r="E25" i="1"/>
  <c r="D25" i="1"/>
  <c r="A25" i="1"/>
  <c r="B25" i="1" s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W24" i="1"/>
  <c r="R24" i="1"/>
  <c r="Q24" i="1"/>
  <c r="P24" i="1"/>
  <c r="O24" i="1"/>
  <c r="N24" i="1"/>
  <c r="M24" i="1"/>
  <c r="K24" i="1"/>
  <c r="J24" i="1"/>
  <c r="I24" i="1"/>
  <c r="H24" i="1"/>
  <c r="G24" i="1"/>
  <c r="F24" i="1"/>
  <c r="E24" i="1"/>
  <c r="D24" i="1"/>
  <c r="A24" i="1"/>
  <c r="B24" i="1" s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W23" i="1"/>
  <c r="R23" i="1"/>
  <c r="Q23" i="1"/>
  <c r="P23" i="1"/>
  <c r="O23" i="1"/>
  <c r="N23" i="1"/>
  <c r="M23" i="1"/>
  <c r="K23" i="1"/>
  <c r="J23" i="1"/>
  <c r="I23" i="1"/>
  <c r="H23" i="1"/>
  <c r="G23" i="1"/>
  <c r="F23" i="1"/>
  <c r="E23" i="1"/>
  <c r="D23" i="1"/>
  <c r="A23" i="1"/>
  <c r="B23" i="1" s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W22" i="1"/>
  <c r="R22" i="1"/>
  <c r="Q22" i="1"/>
  <c r="P22" i="1"/>
  <c r="O22" i="1"/>
  <c r="N22" i="1"/>
  <c r="M22" i="1"/>
  <c r="K22" i="1"/>
  <c r="J22" i="1"/>
  <c r="I22" i="1"/>
  <c r="H22" i="1"/>
  <c r="G22" i="1"/>
  <c r="F22" i="1"/>
  <c r="E22" i="1"/>
  <c r="D22" i="1"/>
  <c r="A22" i="1"/>
  <c r="B22" i="1" s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D21" i="1"/>
  <c r="W21" i="1"/>
  <c r="R21" i="1"/>
  <c r="Q21" i="1"/>
  <c r="P21" i="1"/>
  <c r="O21" i="1"/>
  <c r="N21" i="1"/>
  <c r="M21" i="1"/>
  <c r="K21" i="1"/>
  <c r="J21" i="1"/>
  <c r="I21" i="1"/>
  <c r="H21" i="1"/>
  <c r="G21" i="1"/>
  <c r="F21" i="1"/>
  <c r="E21" i="1"/>
  <c r="D21" i="1"/>
  <c r="A21" i="1"/>
  <c r="B21" i="1" s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W20" i="1"/>
  <c r="R20" i="1"/>
  <c r="Q20" i="1"/>
  <c r="P20" i="1"/>
  <c r="O20" i="1"/>
  <c r="N20" i="1"/>
  <c r="M20" i="1"/>
  <c r="K20" i="1"/>
  <c r="J20" i="1"/>
  <c r="I20" i="1"/>
  <c r="H20" i="1"/>
  <c r="G20" i="1"/>
  <c r="F20" i="1"/>
  <c r="E20" i="1"/>
  <c r="D20" i="1"/>
  <c r="A20" i="1"/>
  <c r="B20" i="1" s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W19" i="1"/>
  <c r="R19" i="1"/>
  <c r="Q19" i="1"/>
  <c r="P19" i="1"/>
  <c r="O19" i="1"/>
  <c r="N19" i="1"/>
  <c r="M19" i="1"/>
  <c r="K19" i="1"/>
  <c r="J19" i="1"/>
  <c r="I19" i="1"/>
  <c r="H19" i="1"/>
  <c r="G19" i="1"/>
  <c r="F19" i="1"/>
  <c r="E19" i="1"/>
  <c r="D19" i="1"/>
  <c r="A19" i="1"/>
  <c r="B19" i="1" s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D18" i="1"/>
  <c r="W18" i="1"/>
  <c r="R18" i="1"/>
  <c r="Q18" i="1"/>
  <c r="P18" i="1"/>
  <c r="O18" i="1"/>
  <c r="N18" i="1"/>
  <c r="M18" i="1"/>
  <c r="K18" i="1"/>
  <c r="J18" i="1"/>
  <c r="I18" i="1"/>
  <c r="H18" i="1"/>
  <c r="G18" i="1"/>
  <c r="F18" i="1"/>
  <c r="E18" i="1"/>
  <c r="D18" i="1"/>
  <c r="A18" i="1"/>
  <c r="B18" i="1" s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D17" i="1"/>
  <c r="W17" i="1"/>
  <c r="R17" i="1"/>
  <c r="Q17" i="1"/>
  <c r="P17" i="1"/>
  <c r="O17" i="1"/>
  <c r="N17" i="1"/>
  <c r="M17" i="1"/>
  <c r="K17" i="1"/>
  <c r="J17" i="1"/>
  <c r="I17" i="1"/>
  <c r="H17" i="1"/>
  <c r="G17" i="1"/>
  <c r="F17" i="1"/>
  <c r="E17" i="1"/>
  <c r="D17" i="1"/>
  <c r="A17" i="1"/>
  <c r="B17" i="1" s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D16" i="1"/>
  <c r="W16" i="1"/>
  <c r="R16" i="1"/>
  <c r="Q16" i="1"/>
  <c r="P16" i="1"/>
  <c r="O16" i="1"/>
  <c r="N16" i="1"/>
  <c r="M16" i="1"/>
  <c r="K16" i="1"/>
  <c r="J16" i="1"/>
  <c r="I16" i="1"/>
  <c r="H16" i="1"/>
  <c r="G16" i="1"/>
  <c r="F16" i="1"/>
  <c r="E16" i="1"/>
  <c r="D16" i="1"/>
  <c r="A16" i="1"/>
  <c r="B16" i="1" s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D15" i="1"/>
  <c r="W15" i="1"/>
  <c r="R15" i="1"/>
  <c r="Q15" i="1"/>
  <c r="P15" i="1"/>
  <c r="O15" i="1"/>
  <c r="N15" i="1"/>
  <c r="M15" i="1"/>
  <c r="K15" i="1"/>
  <c r="J15" i="1"/>
  <c r="I15" i="1"/>
  <c r="H15" i="1"/>
  <c r="G15" i="1"/>
  <c r="F15" i="1"/>
  <c r="E15" i="1"/>
  <c r="D15" i="1"/>
  <c r="A15" i="1"/>
  <c r="B15" i="1" s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D14" i="1"/>
  <c r="W14" i="1"/>
  <c r="R14" i="1"/>
  <c r="Q14" i="1"/>
  <c r="P14" i="1"/>
  <c r="O14" i="1"/>
  <c r="N14" i="1"/>
  <c r="M14" i="1"/>
  <c r="K14" i="1"/>
  <c r="J14" i="1"/>
  <c r="I14" i="1"/>
  <c r="H14" i="1"/>
  <c r="G14" i="1"/>
  <c r="F14" i="1"/>
  <c r="E14" i="1"/>
  <c r="D14" i="1"/>
  <c r="A14" i="1"/>
  <c r="B14" i="1" s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D13" i="1"/>
  <c r="W13" i="1"/>
  <c r="R13" i="1"/>
  <c r="Q13" i="1"/>
  <c r="P13" i="1"/>
  <c r="O13" i="1"/>
  <c r="N13" i="1"/>
  <c r="M13" i="1"/>
  <c r="K13" i="1"/>
  <c r="J13" i="1"/>
  <c r="I13" i="1"/>
  <c r="H13" i="1"/>
  <c r="G13" i="1"/>
  <c r="F13" i="1"/>
  <c r="E13" i="1"/>
  <c r="D13" i="1"/>
  <c r="A13" i="1"/>
  <c r="B13" i="1" s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L12" i="1" s="1"/>
  <c r="AD12" i="1"/>
  <c r="W12" i="1"/>
  <c r="R12" i="1"/>
  <c r="Q12" i="1"/>
  <c r="P12" i="1"/>
  <c r="O12" i="1"/>
  <c r="N12" i="1"/>
  <c r="M12" i="1"/>
  <c r="K12" i="1"/>
  <c r="J12" i="1"/>
  <c r="I12" i="1"/>
  <c r="H12" i="1"/>
  <c r="G12" i="1"/>
  <c r="F12" i="1"/>
  <c r="E12" i="1"/>
  <c r="D12" i="1"/>
  <c r="A12" i="1"/>
  <c r="B12" i="1" s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D11" i="1"/>
  <c r="W11" i="1"/>
  <c r="R11" i="1"/>
  <c r="Q11" i="1"/>
  <c r="P11" i="1"/>
  <c r="O11" i="1"/>
  <c r="N11" i="1"/>
  <c r="M11" i="1"/>
  <c r="K11" i="1"/>
  <c r="J11" i="1"/>
  <c r="I11" i="1"/>
  <c r="H11" i="1"/>
  <c r="G11" i="1"/>
  <c r="F11" i="1"/>
  <c r="E11" i="1"/>
  <c r="D11" i="1"/>
  <c r="A11" i="1"/>
  <c r="B11" i="1" s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D10" i="1"/>
  <c r="W10" i="1"/>
  <c r="R10" i="1"/>
  <c r="Q10" i="1"/>
  <c r="P10" i="1"/>
  <c r="O10" i="1"/>
  <c r="N10" i="1"/>
  <c r="M10" i="1"/>
  <c r="K10" i="1"/>
  <c r="J10" i="1"/>
  <c r="I10" i="1"/>
  <c r="H10" i="1"/>
  <c r="G10" i="1"/>
  <c r="F10" i="1"/>
  <c r="E10" i="1"/>
  <c r="D10" i="1"/>
  <c r="A10" i="1"/>
  <c r="B10" i="1" s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D9" i="1"/>
  <c r="W9" i="1"/>
  <c r="R9" i="1"/>
  <c r="Q9" i="1"/>
  <c r="P9" i="1"/>
  <c r="O9" i="1"/>
  <c r="N9" i="1"/>
  <c r="M9" i="1"/>
  <c r="K9" i="1"/>
  <c r="J9" i="1"/>
  <c r="I9" i="1"/>
  <c r="H9" i="1"/>
  <c r="G9" i="1"/>
  <c r="F9" i="1"/>
  <c r="E9" i="1"/>
  <c r="D9" i="1"/>
  <c r="A9" i="1"/>
  <c r="B9" i="1" s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D8" i="1"/>
  <c r="W8" i="1"/>
  <c r="W40" i="1" s="1"/>
  <c r="W41" i="1" s="1"/>
  <c r="R8" i="1"/>
  <c r="Q8" i="1"/>
  <c r="P8" i="1"/>
  <c r="O8" i="1"/>
  <c r="N8" i="1"/>
  <c r="M8" i="1"/>
  <c r="K8" i="1"/>
  <c r="J8" i="1"/>
  <c r="I8" i="1"/>
  <c r="H8" i="1"/>
  <c r="G8" i="1"/>
  <c r="F8" i="1"/>
  <c r="E8" i="1"/>
  <c r="D8" i="1"/>
  <c r="A8" i="1"/>
  <c r="B8" i="1" s="1"/>
  <c r="T8" i="4" l="1"/>
  <c r="H14" i="4"/>
  <c r="X15" i="4"/>
  <c r="J20" i="4"/>
  <c r="AE21" i="4"/>
  <c r="T23" i="4"/>
  <c r="D26" i="4"/>
  <c r="AD28" i="4"/>
  <c r="J34" i="4"/>
  <c r="O37" i="4"/>
  <c r="D11" i="4"/>
  <c r="D13" i="4"/>
  <c r="AB15" i="4"/>
  <c r="D18" i="4"/>
  <c r="AB23" i="4"/>
  <c r="J26" i="4"/>
  <c r="O34" i="4"/>
  <c r="T37" i="4"/>
  <c r="L20" i="1"/>
  <c r="X37" i="4"/>
  <c r="D10" i="4"/>
  <c r="T11" i="4"/>
  <c r="H13" i="4"/>
  <c r="J18" i="4"/>
  <c r="Z20" i="4"/>
  <c r="D22" i="4"/>
  <c r="T26" i="4"/>
  <c r="D29" i="4"/>
  <c r="D31" i="4"/>
  <c r="Z34" i="4"/>
  <c r="AE37" i="4"/>
  <c r="H10" i="4"/>
  <c r="X14" i="4"/>
  <c r="T31" i="4"/>
  <c r="D38" i="4"/>
  <c r="L10" i="4"/>
  <c r="D12" i="4"/>
  <c r="T13" i="4"/>
  <c r="AE14" i="4"/>
  <c r="Z18" i="4"/>
  <c r="D21" i="4"/>
  <c r="T22" i="4"/>
  <c r="L24" i="4"/>
  <c r="D27" i="4"/>
  <c r="X29" i="4"/>
  <c r="D35" i="4"/>
  <c r="R38" i="4"/>
  <c r="O10" i="4"/>
  <c r="H12" i="4"/>
  <c r="H16" i="4"/>
  <c r="AE18" i="4"/>
  <c r="H21" i="4"/>
  <c r="X22" i="4"/>
  <c r="T24" i="4"/>
  <c r="J27" i="4"/>
  <c r="AE29" i="4"/>
  <c r="T35" i="4"/>
  <c r="T38" i="4"/>
  <c r="E40" i="1"/>
  <c r="E41" i="1" s="1"/>
  <c r="T10" i="4"/>
  <c r="J12" i="4"/>
  <c r="X13" i="4"/>
  <c r="L16" i="4"/>
  <c r="J21" i="4"/>
  <c r="AE22" i="4"/>
  <c r="T27" i="4"/>
  <c r="D32" i="4"/>
  <c r="AE38" i="4"/>
  <c r="L35" i="1"/>
  <c r="W10" i="4"/>
  <c r="N12" i="4"/>
  <c r="Z13" i="4"/>
  <c r="D15" i="4"/>
  <c r="T16" i="4"/>
  <c r="D19" i="4"/>
  <c r="N21" i="4"/>
  <c r="AH22" i="4"/>
  <c r="X24" i="4"/>
  <c r="Z27" i="4"/>
  <c r="T32" i="4"/>
  <c r="N36" i="4"/>
  <c r="AH38" i="4"/>
  <c r="X10" i="4"/>
  <c r="T12" i="4"/>
  <c r="AD13" i="4"/>
  <c r="H15" i="4"/>
  <c r="J19" i="4"/>
  <c r="O21" i="4"/>
  <c r="AB24" i="4"/>
  <c r="D30" i="4"/>
  <c r="AD36" i="4"/>
  <c r="L23" i="1"/>
  <c r="L31" i="1"/>
  <c r="S31" i="1" s="1"/>
  <c r="Z10" i="4"/>
  <c r="X12" i="4"/>
  <c r="AE13" i="4"/>
  <c r="L15" i="4"/>
  <c r="X16" i="4"/>
  <c r="T19" i="4"/>
  <c r="T21" i="4"/>
  <c r="D23" i="4"/>
  <c r="O30" i="4"/>
  <c r="L39" i="4"/>
  <c r="D8" i="4"/>
  <c r="AB10" i="4"/>
  <c r="Z12" i="4"/>
  <c r="AB16" i="4"/>
  <c r="Z19" i="4"/>
  <c r="X21" i="4"/>
  <c r="L23" i="4"/>
  <c r="D28" i="4"/>
  <c r="AB39" i="4"/>
  <c r="E8" i="4"/>
  <c r="AE10" i="4"/>
  <c r="AD12" i="4"/>
  <c r="R15" i="4"/>
  <c r="Z21" i="4"/>
  <c r="N23" i="4"/>
  <c r="N28" i="4"/>
  <c r="T30" i="4"/>
  <c r="D37" i="4"/>
  <c r="L24" i="1"/>
  <c r="L36" i="1"/>
  <c r="O8" i="4"/>
  <c r="D14" i="4"/>
  <c r="T15" i="4"/>
  <c r="D20" i="4"/>
  <c r="AD21" i="4"/>
  <c r="R23" i="4"/>
  <c r="T28" i="4"/>
  <c r="AE30" i="4"/>
  <c r="D34" i="4"/>
  <c r="H37" i="4"/>
  <c r="AD22" i="1"/>
  <c r="AD35" i="1"/>
  <c r="AJ26" i="4"/>
  <c r="AD20" i="1"/>
  <c r="L33" i="1"/>
  <c r="S24" i="1"/>
  <c r="AC24" i="1" s="1"/>
  <c r="L11" i="1"/>
  <c r="S11" i="1" s="1"/>
  <c r="R40" i="1"/>
  <c r="R41" i="1" s="1"/>
  <c r="L29" i="1"/>
  <c r="S29" i="1" s="1"/>
  <c r="L15" i="1"/>
  <c r="S15" i="1" s="1"/>
  <c r="L19" i="1"/>
  <c r="S19" i="1" s="1"/>
  <c r="L26" i="1"/>
  <c r="S26" i="1" s="1"/>
  <c r="L37" i="1"/>
  <c r="F40" i="1"/>
  <c r="F41" i="1" s="1"/>
  <c r="L13" i="1"/>
  <c r="S13" i="1" s="1"/>
  <c r="L17" i="1"/>
  <c r="S17" i="1" s="1"/>
  <c r="L21" i="1"/>
  <c r="S21" i="1" s="1"/>
  <c r="L8" i="1"/>
  <c r="L9" i="1"/>
  <c r="L10" i="1"/>
  <c r="L14" i="1"/>
  <c r="S14" i="1" s="1"/>
  <c r="L27" i="1"/>
  <c r="L16" i="1"/>
  <c r="S16" i="1" s="1"/>
  <c r="S10" i="1"/>
  <c r="T10" i="1" s="1"/>
  <c r="K40" i="1"/>
  <c r="K41" i="1" s="1"/>
  <c r="Q40" i="1"/>
  <c r="Q41" i="1" s="1"/>
  <c r="L18" i="1"/>
  <c r="S18" i="1" s="1"/>
  <c r="L22" i="1"/>
  <c r="S20" i="1"/>
  <c r="S35" i="1"/>
  <c r="S33" i="1"/>
  <c r="S23" i="1"/>
  <c r="S9" i="1"/>
  <c r="I40" i="1"/>
  <c r="I41" i="1" s="1"/>
  <c r="Q36" i="4"/>
  <c r="Q28" i="4"/>
  <c r="Q20" i="4"/>
  <c r="Q12" i="4"/>
  <c r="Q8" i="4"/>
  <c r="Q33" i="4"/>
  <c r="Q25" i="4"/>
  <c r="Q17" i="4"/>
  <c r="Q38" i="4"/>
  <c r="Q30" i="4"/>
  <c r="Q22" i="4"/>
  <c r="Q14" i="4"/>
  <c r="Q35" i="4"/>
  <c r="Q27" i="4"/>
  <c r="Q19" i="4"/>
  <c r="Q11" i="4"/>
  <c r="Q40" i="4"/>
  <c r="Q32" i="4"/>
  <c r="Q24" i="4"/>
  <c r="Q16" i="4"/>
  <c r="Q37" i="4"/>
  <c r="Q29" i="4"/>
  <c r="Q21" i="4"/>
  <c r="Q13" i="4"/>
  <c r="Q34" i="4"/>
  <c r="Q26" i="4"/>
  <c r="Q18" i="4"/>
  <c r="Q10" i="4"/>
  <c r="Q39" i="4"/>
  <c r="Q31" i="4"/>
  <c r="Q23" i="4"/>
  <c r="Q15" i="4"/>
  <c r="P33" i="4"/>
  <c r="AF33" i="4"/>
  <c r="H40" i="1"/>
  <c r="H41" i="1" s="1"/>
  <c r="S22" i="1"/>
  <c r="C8" i="4"/>
  <c r="C33" i="4"/>
  <c r="C25" i="4"/>
  <c r="C17" i="4"/>
  <c r="C38" i="4"/>
  <c r="C30" i="4"/>
  <c r="C22" i="4"/>
  <c r="C14" i="4"/>
  <c r="C35" i="4"/>
  <c r="C27" i="4"/>
  <c r="C19" i="4"/>
  <c r="C11" i="4"/>
  <c r="C40" i="4"/>
  <c r="C32" i="4"/>
  <c r="C24" i="4"/>
  <c r="C16" i="4"/>
  <c r="C37" i="4"/>
  <c r="C29" i="4"/>
  <c r="C21" i="4"/>
  <c r="C13" i="4"/>
  <c r="C34" i="4"/>
  <c r="C26" i="4"/>
  <c r="C18" i="4"/>
  <c r="C10" i="4"/>
  <c r="C39" i="4"/>
  <c r="C31" i="4"/>
  <c r="C23" i="4"/>
  <c r="C15" i="4"/>
  <c r="C36" i="4"/>
  <c r="C28" i="4"/>
  <c r="C20" i="4"/>
  <c r="C12" i="4"/>
  <c r="S8" i="4"/>
  <c r="S33" i="4"/>
  <c r="S25" i="4"/>
  <c r="S17" i="4"/>
  <c r="S38" i="4"/>
  <c r="S30" i="4"/>
  <c r="S22" i="4"/>
  <c r="S14" i="4"/>
  <c r="S35" i="4"/>
  <c r="S27" i="4"/>
  <c r="S19" i="4"/>
  <c r="S11" i="4"/>
  <c r="S40" i="4"/>
  <c r="S32" i="4"/>
  <c r="S24" i="4"/>
  <c r="S16" i="4"/>
  <c r="S37" i="4"/>
  <c r="S29" i="4"/>
  <c r="S21" i="4"/>
  <c r="S13" i="4"/>
  <c r="S34" i="4"/>
  <c r="S26" i="4"/>
  <c r="S18" i="4"/>
  <c r="S10" i="4"/>
  <c r="S39" i="4"/>
  <c r="S31" i="4"/>
  <c r="S23" i="4"/>
  <c r="S15" i="4"/>
  <c r="S36" i="4"/>
  <c r="S28" i="4"/>
  <c r="S20" i="4"/>
  <c r="S12" i="4"/>
  <c r="G40" i="1"/>
  <c r="G41" i="1" s="1"/>
  <c r="J40" i="1"/>
  <c r="J41" i="1" s="1"/>
  <c r="AF26" i="4"/>
  <c r="L28" i="1"/>
  <c r="S28" i="1" s="1"/>
  <c r="F38" i="4"/>
  <c r="F30" i="4"/>
  <c r="F22" i="4"/>
  <c r="F14" i="4"/>
  <c r="F35" i="4"/>
  <c r="F27" i="4"/>
  <c r="F19" i="4"/>
  <c r="F11" i="4"/>
  <c r="F37" i="4"/>
  <c r="F29" i="4"/>
  <c r="F21" i="4"/>
  <c r="F13" i="4"/>
  <c r="F34" i="4"/>
  <c r="F26" i="4"/>
  <c r="F18" i="4"/>
  <c r="F10" i="4"/>
  <c r="F39" i="4"/>
  <c r="F31" i="4"/>
  <c r="F23" i="4"/>
  <c r="F15" i="4"/>
  <c r="F36" i="4"/>
  <c r="F28" i="4"/>
  <c r="F20" i="4"/>
  <c r="F12" i="4"/>
  <c r="F8" i="4"/>
  <c r="F33" i="4"/>
  <c r="V38" i="4"/>
  <c r="V30" i="4"/>
  <c r="V22" i="4"/>
  <c r="V14" i="4"/>
  <c r="V35" i="4"/>
  <c r="V27" i="4"/>
  <c r="V19" i="4"/>
  <c r="V11" i="4"/>
  <c r="V37" i="4"/>
  <c r="V29" i="4"/>
  <c r="V21" i="4"/>
  <c r="V13" i="4"/>
  <c r="V34" i="4"/>
  <c r="V26" i="4"/>
  <c r="V18" i="4"/>
  <c r="V10" i="4"/>
  <c r="V39" i="4"/>
  <c r="V31" i="4"/>
  <c r="V23" i="4"/>
  <c r="V15" i="4"/>
  <c r="V36" i="4"/>
  <c r="V28" i="4"/>
  <c r="V20" i="4"/>
  <c r="V12" i="4"/>
  <c r="V8" i="4"/>
  <c r="V33" i="4"/>
  <c r="P18" i="4"/>
  <c r="AF10" i="4"/>
  <c r="F25" i="4"/>
  <c r="S27" i="1"/>
  <c r="S36" i="1"/>
  <c r="S38" i="1"/>
  <c r="K37" i="4"/>
  <c r="K29" i="4"/>
  <c r="K21" i="4"/>
  <c r="K13" i="4"/>
  <c r="K34" i="4"/>
  <c r="K26" i="4"/>
  <c r="K18" i="4"/>
  <c r="K10" i="4"/>
  <c r="K39" i="4"/>
  <c r="K31" i="4"/>
  <c r="K23" i="4"/>
  <c r="K15" i="4"/>
  <c r="K36" i="4"/>
  <c r="K28" i="4"/>
  <c r="K20" i="4"/>
  <c r="K12" i="4"/>
  <c r="K8" i="4"/>
  <c r="K33" i="4"/>
  <c r="K25" i="4"/>
  <c r="K17" i="4"/>
  <c r="K38" i="4"/>
  <c r="K30" i="4"/>
  <c r="K22" i="4"/>
  <c r="K14" i="4"/>
  <c r="K35" i="4"/>
  <c r="K27" i="4"/>
  <c r="K19" i="4"/>
  <c r="K11" i="4"/>
  <c r="K40" i="4"/>
  <c r="K32" i="4"/>
  <c r="K24" i="4"/>
  <c r="K16" i="4"/>
  <c r="F17" i="4"/>
  <c r="F32" i="4"/>
  <c r="P25" i="4"/>
  <c r="L32" i="1"/>
  <c r="S32" i="1" s="1"/>
  <c r="L25" i="1"/>
  <c r="S25" i="1" s="1"/>
  <c r="S37" i="1"/>
  <c r="P39" i="4"/>
  <c r="P31" i="4"/>
  <c r="P23" i="4"/>
  <c r="P15" i="4"/>
  <c r="P36" i="4"/>
  <c r="P28" i="4"/>
  <c r="P20" i="4"/>
  <c r="P12" i="4"/>
  <c r="P8" i="4"/>
  <c r="P38" i="4"/>
  <c r="P30" i="4"/>
  <c r="P22" i="4"/>
  <c r="P14" i="4"/>
  <c r="P35" i="4"/>
  <c r="P27" i="4"/>
  <c r="P19" i="4"/>
  <c r="P11" i="4"/>
  <c r="P40" i="4"/>
  <c r="P32" i="4"/>
  <c r="P24" i="4"/>
  <c r="P16" i="4"/>
  <c r="P37" i="4"/>
  <c r="P29" i="4"/>
  <c r="P21" i="4"/>
  <c r="P13" i="4"/>
  <c r="P34" i="4"/>
  <c r="AF39" i="4"/>
  <c r="AF31" i="4"/>
  <c r="AF23" i="4"/>
  <c r="AF15" i="4"/>
  <c r="AF36" i="4"/>
  <c r="AF28" i="4"/>
  <c r="AF20" i="4"/>
  <c r="AF12" i="4"/>
  <c r="AF38" i="4"/>
  <c r="AF30" i="4"/>
  <c r="AF22" i="4"/>
  <c r="AF14" i="4"/>
  <c r="AF35" i="4"/>
  <c r="AF27" i="4"/>
  <c r="AF19" i="4"/>
  <c r="AF11" i="4"/>
  <c r="AF40" i="4"/>
  <c r="AF32" i="4"/>
  <c r="AF24" i="4"/>
  <c r="AF16" i="4"/>
  <c r="AF37" i="4"/>
  <c r="AF29" i="4"/>
  <c r="AF21" i="4"/>
  <c r="AF13" i="4"/>
  <c r="AF34" i="4"/>
  <c r="P10" i="4"/>
  <c r="S12" i="1"/>
  <c r="P26" i="4"/>
  <c r="M40" i="1"/>
  <c r="M41" i="1" s="1"/>
  <c r="I40" i="4"/>
  <c r="I32" i="4"/>
  <c r="I24" i="4"/>
  <c r="I16" i="4"/>
  <c r="I37" i="4"/>
  <c r="I29" i="4"/>
  <c r="I21" i="4"/>
  <c r="I13" i="4"/>
  <c r="I34" i="4"/>
  <c r="I26" i="4"/>
  <c r="I18" i="4"/>
  <c r="I10" i="4"/>
  <c r="I39" i="4"/>
  <c r="I31" i="4"/>
  <c r="I23" i="4"/>
  <c r="I15" i="4"/>
  <c r="I36" i="4"/>
  <c r="I28" i="4"/>
  <c r="I20" i="4"/>
  <c r="I12" i="4"/>
  <c r="I8" i="4"/>
  <c r="I33" i="4"/>
  <c r="I25" i="4"/>
  <c r="I17" i="4"/>
  <c r="I38" i="4"/>
  <c r="I30" i="4"/>
  <c r="I22" i="4"/>
  <c r="I14" i="4"/>
  <c r="I35" i="4"/>
  <c r="I27" i="4"/>
  <c r="I19" i="4"/>
  <c r="I11" i="4"/>
  <c r="AF25" i="4"/>
  <c r="L34" i="1"/>
  <c r="V17" i="4"/>
  <c r="F24" i="4"/>
  <c r="V32" i="4"/>
  <c r="S8" i="1"/>
  <c r="AF17" i="4"/>
  <c r="N40" i="1"/>
  <c r="N41" i="1" s="1"/>
  <c r="L30" i="1"/>
  <c r="S30" i="1" s="1"/>
  <c r="P40" i="1"/>
  <c r="P41" i="1" s="1"/>
  <c r="D40" i="1"/>
  <c r="D41" i="1" s="1"/>
  <c r="Y11" i="4"/>
  <c r="AI12" i="4"/>
  <c r="M13" i="4"/>
  <c r="AC13" i="4"/>
  <c r="G14" i="4"/>
  <c r="W14" i="4"/>
  <c r="AG15" i="4"/>
  <c r="AA16" i="4"/>
  <c r="E17" i="4"/>
  <c r="U17" i="4"/>
  <c r="Y19" i="4"/>
  <c r="AI20" i="4"/>
  <c r="M21" i="4"/>
  <c r="AC21" i="4"/>
  <c r="G22" i="4"/>
  <c r="W22" i="4"/>
  <c r="AG23" i="4"/>
  <c r="AA24" i="4"/>
  <c r="E25" i="4"/>
  <c r="U25" i="4"/>
  <c r="Y27" i="4"/>
  <c r="AI28" i="4"/>
  <c r="M29" i="4"/>
  <c r="AC29" i="4"/>
  <c r="G30" i="4"/>
  <c r="W30" i="4"/>
  <c r="AG31" i="4"/>
  <c r="AA32" i="4"/>
  <c r="E33" i="4"/>
  <c r="U33" i="4"/>
  <c r="Y35" i="4"/>
  <c r="AI36" i="4"/>
  <c r="M37" i="4"/>
  <c r="AC37" i="4"/>
  <c r="G38" i="4"/>
  <c r="W38" i="4"/>
  <c r="AG39" i="4"/>
  <c r="AA40" i="4"/>
  <c r="N29" i="4"/>
  <c r="AD29" i="4"/>
  <c r="H30" i="4"/>
  <c r="X30" i="4"/>
  <c r="R31" i="4"/>
  <c r="AH31" i="4"/>
  <c r="L32" i="4"/>
  <c r="AB32" i="4"/>
  <c r="J35" i="4"/>
  <c r="Z35" i="4"/>
  <c r="D36" i="4"/>
  <c r="T36" i="4"/>
  <c r="N37" i="4"/>
  <c r="AD37" i="4"/>
  <c r="H38" i="4"/>
  <c r="X38" i="4"/>
  <c r="R39" i="4"/>
  <c r="AH39" i="4"/>
  <c r="L40" i="4"/>
  <c r="AB40" i="4"/>
  <c r="AG10" i="4"/>
  <c r="AA11" i="4"/>
  <c r="E12" i="4"/>
  <c r="U12" i="4"/>
  <c r="Y14" i="4"/>
  <c r="AI15" i="4"/>
  <c r="M16" i="4"/>
  <c r="AC16" i="4"/>
  <c r="G17" i="4"/>
  <c r="W17" i="4"/>
  <c r="AG18" i="4"/>
  <c r="AA19" i="4"/>
  <c r="E20" i="4"/>
  <c r="U20" i="4"/>
  <c r="Y22" i="4"/>
  <c r="AI23" i="4"/>
  <c r="M24" i="4"/>
  <c r="AC24" i="4"/>
  <c r="G25" i="4"/>
  <c r="W25" i="4"/>
  <c r="AG26" i="4"/>
  <c r="AA27" i="4"/>
  <c r="E28" i="4"/>
  <c r="U28" i="4"/>
  <c r="Y30" i="4"/>
  <c r="AI31" i="4"/>
  <c r="M32" i="4"/>
  <c r="AC32" i="4"/>
  <c r="G33" i="4"/>
  <c r="W33" i="4"/>
  <c r="AG34" i="4"/>
  <c r="AA35" i="4"/>
  <c r="E36" i="4"/>
  <c r="U36" i="4"/>
  <c r="Y38" i="4"/>
  <c r="AI39" i="4"/>
  <c r="M40" i="4"/>
  <c r="AC40" i="4"/>
  <c r="G8" i="4"/>
  <c r="R10" i="4"/>
  <c r="AH10" i="4"/>
  <c r="L11" i="4"/>
  <c r="AB11" i="4"/>
  <c r="J14" i="4"/>
  <c r="Z14" i="4"/>
  <c r="N16" i="4"/>
  <c r="AD16" i="4"/>
  <c r="H17" i="4"/>
  <c r="X17" i="4"/>
  <c r="R18" i="4"/>
  <c r="AH18" i="4"/>
  <c r="L19" i="4"/>
  <c r="AB19" i="4"/>
  <c r="J22" i="4"/>
  <c r="Z22" i="4"/>
  <c r="N24" i="4"/>
  <c r="AD24" i="4"/>
  <c r="H25" i="4"/>
  <c r="X25" i="4"/>
  <c r="R26" i="4"/>
  <c r="AH26" i="4"/>
  <c r="L27" i="4"/>
  <c r="AB27" i="4"/>
  <c r="J30" i="4"/>
  <c r="Z30" i="4"/>
  <c r="N32" i="4"/>
  <c r="AD32" i="4"/>
  <c r="H33" i="4"/>
  <c r="X33" i="4"/>
  <c r="R34" i="4"/>
  <c r="AH34" i="4"/>
  <c r="L35" i="4"/>
  <c r="AB35" i="4"/>
  <c r="J38" i="4"/>
  <c r="Z38" i="4"/>
  <c r="D39" i="4"/>
  <c r="T39" i="4"/>
  <c r="N40" i="4"/>
  <c r="AD40" i="4"/>
  <c r="H8" i="4"/>
  <c r="AI10" i="4"/>
  <c r="M11" i="4"/>
  <c r="AC11" i="4"/>
  <c r="G12" i="4"/>
  <c r="W12" i="4"/>
  <c r="AG13" i="4"/>
  <c r="AA14" i="4"/>
  <c r="E15" i="4"/>
  <c r="U15" i="4"/>
  <c r="O16" i="4"/>
  <c r="AE16" i="4"/>
  <c r="Y17" i="4"/>
  <c r="AI18" i="4"/>
  <c r="M19" i="4"/>
  <c r="AC19" i="4"/>
  <c r="G20" i="4"/>
  <c r="W20" i="4"/>
  <c r="AG21" i="4"/>
  <c r="AA22" i="4"/>
  <c r="E23" i="4"/>
  <c r="U23" i="4"/>
  <c r="O24" i="4"/>
  <c r="AE24" i="4"/>
  <c r="Y25" i="4"/>
  <c r="AI26" i="4"/>
  <c r="M27" i="4"/>
  <c r="AC27" i="4"/>
  <c r="G28" i="4"/>
  <c r="W28" i="4"/>
  <c r="AG29" i="4"/>
  <c r="AA30" i="4"/>
  <c r="E31" i="4"/>
  <c r="U31" i="4"/>
  <c r="O32" i="4"/>
  <c r="AE32" i="4"/>
  <c r="Y33" i="4"/>
  <c r="AI34" i="4"/>
  <c r="M35" i="4"/>
  <c r="AC35" i="4"/>
  <c r="G36" i="4"/>
  <c r="W36" i="4"/>
  <c r="AG37" i="4"/>
  <c r="AA38" i="4"/>
  <c r="E39" i="4"/>
  <c r="U39" i="4"/>
  <c r="O40" i="4"/>
  <c r="AE40" i="4"/>
  <c r="N11" i="4"/>
  <c r="AD11" i="4"/>
  <c r="R13" i="4"/>
  <c r="AH13" i="4"/>
  <c r="L14" i="4"/>
  <c r="AB14" i="4"/>
  <c r="J17" i="4"/>
  <c r="Z17" i="4"/>
  <c r="N19" i="4"/>
  <c r="AD19" i="4"/>
  <c r="H20" i="4"/>
  <c r="X20" i="4"/>
  <c r="R21" i="4"/>
  <c r="AH21" i="4"/>
  <c r="L22" i="4"/>
  <c r="AB22" i="4"/>
  <c r="J25" i="4"/>
  <c r="Z25" i="4"/>
  <c r="N27" i="4"/>
  <c r="AD27" i="4"/>
  <c r="H28" i="4"/>
  <c r="X28" i="4"/>
  <c r="R29" i="4"/>
  <c r="AH29" i="4"/>
  <c r="L30" i="4"/>
  <c r="AB30" i="4"/>
  <c r="J33" i="4"/>
  <c r="Z33" i="4"/>
  <c r="N35" i="4"/>
  <c r="AD35" i="4"/>
  <c r="H36" i="4"/>
  <c r="X36" i="4"/>
  <c r="R37" i="4"/>
  <c r="AH37" i="4"/>
  <c r="L38" i="4"/>
  <c r="AB38" i="4"/>
  <c r="J8" i="4"/>
  <c r="E10" i="4"/>
  <c r="U10" i="4"/>
  <c r="O11" i="4"/>
  <c r="AE11" i="4"/>
  <c r="Y12" i="4"/>
  <c r="AI13" i="4"/>
  <c r="M14" i="4"/>
  <c r="AC14" i="4"/>
  <c r="G15" i="4"/>
  <c r="W15" i="4"/>
  <c r="AG16" i="4"/>
  <c r="AA17" i="4"/>
  <c r="E18" i="4"/>
  <c r="U18" i="4"/>
  <c r="O19" i="4"/>
  <c r="AE19" i="4"/>
  <c r="Y20" i="4"/>
  <c r="AI21" i="4"/>
  <c r="M22" i="4"/>
  <c r="AC22" i="4"/>
  <c r="G23" i="4"/>
  <c r="W23" i="4"/>
  <c r="AG24" i="4"/>
  <c r="AA25" i="4"/>
  <c r="E26" i="4"/>
  <c r="U26" i="4"/>
  <c r="O27" i="4"/>
  <c r="AE27" i="4"/>
  <c r="Y28" i="4"/>
  <c r="AI29" i="4"/>
  <c r="M30" i="4"/>
  <c r="AC30" i="4"/>
  <c r="G31" i="4"/>
  <c r="W31" i="4"/>
  <c r="AG32" i="4"/>
  <c r="AA33" i="4"/>
  <c r="E34" i="4"/>
  <c r="U34" i="4"/>
  <c r="O35" i="4"/>
  <c r="AE35" i="4"/>
  <c r="Y36" i="4"/>
  <c r="AI37" i="4"/>
  <c r="M38" i="4"/>
  <c r="AC38" i="4"/>
  <c r="G39" i="4"/>
  <c r="W39" i="4"/>
  <c r="AG40" i="4"/>
  <c r="R16" i="4"/>
  <c r="AH16" i="4"/>
  <c r="L17" i="4"/>
  <c r="AB17" i="4"/>
  <c r="N22" i="4"/>
  <c r="AD22" i="4"/>
  <c r="H23" i="4"/>
  <c r="X23" i="4"/>
  <c r="R24" i="4"/>
  <c r="AH24" i="4"/>
  <c r="L25" i="4"/>
  <c r="AB25" i="4"/>
  <c r="J28" i="4"/>
  <c r="Z28" i="4"/>
  <c r="N30" i="4"/>
  <c r="AD30" i="4"/>
  <c r="H31" i="4"/>
  <c r="X31" i="4"/>
  <c r="R32" i="4"/>
  <c r="AH32" i="4"/>
  <c r="L33" i="4"/>
  <c r="AB33" i="4"/>
  <c r="J36" i="4"/>
  <c r="Z36" i="4"/>
  <c r="N38" i="4"/>
  <c r="AD38" i="4"/>
  <c r="H39" i="4"/>
  <c r="X39" i="4"/>
  <c r="R40" i="4"/>
  <c r="AH40" i="4"/>
  <c r="L8" i="4"/>
  <c r="AG11" i="4"/>
  <c r="AA12" i="4"/>
  <c r="Y15" i="4"/>
  <c r="AI16" i="4"/>
  <c r="M17" i="4"/>
  <c r="AC17" i="4"/>
  <c r="AG19" i="4"/>
  <c r="AA20" i="4"/>
  <c r="E21" i="4"/>
  <c r="U21" i="4"/>
  <c r="Y23" i="4"/>
  <c r="AI24" i="4"/>
  <c r="M25" i="4"/>
  <c r="AC25" i="4"/>
  <c r="G26" i="4"/>
  <c r="W26" i="4"/>
  <c r="AG27" i="4"/>
  <c r="AA28" i="4"/>
  <c r="E29" i="4"/>
  <c r="U29" i="4"/>
  <c r="Y31" i="4"/>
  <c r="AI32" i="4"/>
  <c r="M33" i="4"/>
  <c r="AC33" i="4"/>
  <c r="G34" i="4"/>
  <c r="W34" i="4"/>
  <c r="AG35" i="4"/>
  <c r="AA36" i="4"/>
  <c r="E37" i="4"/>
  <c r="U37" i="4"/>
  <c r="Y39" i="4"/>
  <c r="AI40" i="4"/>
  <c r="M8" i="4"/>
  <c r="R11" i="4"/>
  <c r="AH11" i="4"/>
  <c r="L12" i="4"/>
  <c r="AB12" i="4"/>
  <c r="J15" i="4"/>
  <c r="Z15" i="4"/>
  <c r="N17" i="4"/>
  <c r="AD17" i="4"/>
  <c r="H18" i="4"/>
  <c r="X18" i="4"/>
  <c r="R19" i="4"/>
  <c r="AH19" i="4"/>
  <c r="L20" i="4"/>
  <c r="AB20" i="4"/>
  <c r="J23" i="4"/>
  <c r="Z23" i="4"/>
  <c r="N25" i="4"/>
  <c r="AD25" i="4"/>
  <c r="H26" i="4"/>
  <c r="X26" i="4"/>
  <c r="R27" i="4"/>
  <c r="AH27" i="4"/>
  <c r="L28" i="4"/>
  <c r="AB28" i="4"/>
  <c r="J31" i="4"/>
  <c r="Z31" i="4"/>
  <c r="N33" i="4"/>
  <c r="AD33" i="4"/>
  <c r="H34" i="4"/>
  <c r="X34" i="4"/>
  <c r="R35" i="4"/>
  <c r="AH35" i="4"/>
  <c r="L36" i="4"/>
  <c r="AB36" i="4"/>
  <c r="J39" i="4"/>
  <c r="Z39" i="4"/>
  <c r="D40" i="4"/>
  <c r="T40" i="4"/>
  <c r="N8" i="4"/>
  <c r="Y10" i="4"/>
  <c r="AI11" i="4"/>
  <c r="M12" i="4"/>
  <c r="AC12" i="4"/>
  <c r="G13" i="4"/>
  <c r="W13" i="4"/>
  <c r="AG14" i="4"/>
  <c r="AA15" i="4"/>
  <c r="E16" i="4"/>
  <c r="U16" i="4"/>
  <c r="O17" i="4"/>
  <c r="AE17" i="4"/>
  <c r="Y18" i="4"/>
  <c r="AI19" i="4"/>
  <c r="M20" i="4"/>
  <c r="AC20" i="4"/>
  <c r="G21" i="4"/>
  <c r="W21" i="4"/>
  <c r="AG22" i="4"/>
  <c r="AA23" i="4"/>
  <c r="E24" i="4"/>
  <c r="U24" i="4"/>
  <c r="O25" i="4"/>
  <c r="AE25" i="4"/>
  <c r="Y26" i="4"/>
  <c r="AI27" i="4"/>
  <c r="M28" i="4"/>
  <c r="AC28" i="4"/>
  <c r="G29" i="4"/>
  <c r="W29" i="4"/>
  <c r="AG30" i="4"/>
  <c r="AA31" i="4"/>
  <c r="E32" i="4"/>
  <c r="U32" i="4"/>
  <c r="O33" i="4"/>
  <c r="AE33" i="4"/>
  <c r="Y34" i="4"/>
  <c r="AI35" i="4"/>
  <c r="M36" i="4"/>
  <c r="AC36" i="4"/>
  <c r="G37" i="4"/>
  <c r="W37" i="4"/>
  <c r="AG38" i="4"/>
  <c r="AA39" i="4"/>
  <c r="E40" i="4"/>
  <c r="U40" i="4"/>
  <c r="AA10" i="4"/>
  <c r="E11" i="4"/>
  <c r="U11" i="4"/>
  <c r="O12" i="4"/>
  <c r="AE12" i="4"/>
  <c r="Y13" i="4"/>
  <c r="AI14" i="4"/>
  <c r="M15" i="4"/>
  <c r="AC15" i="4"/>
  <c r="G16" i="4"/>
  <c r="W16" i="4"/>
  <c r="AG17" i="4"/>
  <c r="AA18" i="4"/>
  <c r="E19" i="4"/>
  <c r="U19" i="4"/>
  <c r="O20" i="4"/>
  <c r="AE20" i="4"/>
  <c r="Y21" i="4"/>
  <c r="AI22" i="4"/>
  <c r="M23" i="4"/>
  <c r="AC23" i="4"/>
  <c r="G24" i="4"/>
  <c r="W24" i="4"/>
  <c r="AG25" i="4"/>
  <c r="AA26" i="4"/>
  <c r="E27" i="4"/>
  <c r="U27" i="4"/>
  <c r="O28" i="4"/>
  <c r="AE28" i="4"/>
  <c r="Y29" i="4"/>
  <c r="AI30" i="4"/>
  <c r="M31" i="4"/>
  <c r="AC31" i="4"/>
  <c r="G32" i="4"/>
  <c r="W32" i="4"/>
  <c r="AG33" i="4"/>
  <c r="AA34" i="4"/>
  <c r="E35" i="4"/>
  <c r="U35" i="4"/>
  <c r="O36" i="4"/>
  <c r="AE36" i="4"/>
  <c r="Y37" i="4"/>
  <c r="AI38" i="4"/>
  <c r="M39" i="4"/>
  <c r="AC39" i="4"/>
  <c r="G40" i="4"/>
  <c r="W40" i="4"/>
  <c r="R17" i="4"/>
  <c r="AH17" i="4"/>
  <c r="L18" i="4"/>
  <c r="AB18" i="4"/>
  <c r="R25" i="4"/>
  <c r="AH25" i="4"/>
  <c r="L26" i="4"/>
  <c r="AB26" i="4"/>
  <c r="J29" i="4"/>
  <c r="Z29" i="4"/>
  <c r="N31" i="4"/>
  <c r="AD31" i="4"/>
  <c r="H32" i="4"/>
  <c r="X32" i="4"/>
  <c r="R33" i="4"/>
  <c r="AH33" i="4"/>
  <c r="L34" i="4"/>
  <c r="AB34" i="4"/>
  <c r="J37" i="4"/>
  <c r="Z37" i="4"/>
  <c r="N39" i="4"/>
  <c r="AD39" i="4"/>
  <c r="H40" i="4"/>
  <c r="X40" i="4"/>
  <c r="R8" i="4"/>
  <c r="M10" i="4"/>
  <c r="AC10" i="4"/>
  <c r="G11" i="4"/>
  <c r="W11" i="4"/>
  <c r="AG12" i="4"/>
  <c r="AA13" i="4"/>
  <c r="E14" i="4"/>
  <c r="U14" i="4"/>
  <c r="O15" i="4"/>
  <c r="AE15" i="4"/>
  <c r="Y16" i="4"/>
  <c r="AI17" i="4"/>
  <c r="M18" i="4"/>
  <c r="AC18" i="4"/>
  <c r="G19" i="4"/>
  <c r="W19" i="4"/>
  <c r="AG20" i="4"/>
  <c r="AA21" i="4"/>
  <c r="E22" i="4"/>
  <c r="U22" i="4"/>
  <c r="O23" i="4"/>
  <c r="AE23" i="4"/>
  <c r="Y24" i="4"/>
  <c r="AI25" i="4"/>
  <c r="M26" i="4"/>
  <c r="AC26" i="4"/>
  <c r="G27" i="4"/>
  <c r="W27" i="4"/>
  <c r="AG28" i="4"/>
  <c r="AA29" i="4"/>
  <c r="E30" i="4"/>
  <c r="U30" i="4"/>
  <c r="O31" i="4"/>
  <c r="AE31" i="4"/>
  <c r="Y32" i="4"/>
  <c r="N10" i="4"/>
  <c r="AD10" i="4"/>
  <c r="H11" i="4"/>
  <c r="X11" i="4"/>
  <c r="R12" i="4"/>
  <c r="AH12" i="4"/>
  <c r="L13" i="4"/>
  <c r="AB13" i="4"/>
  <c r="J16" i="4"/>
  <c r="Z16" i="4"/>
  <c r="D17" i="4"/>
  <c r="T17" i="4"/>
  <c r="N18" i="4"/>
  <c r="AD18" i="4"/>
  <c r="H19" i="4"/>
  <c r="X19" i="4"/>
  <c r="R20" i="4"/>
  <c r="AH20" i="4"/>
  <c r="L21" i="4"/>
  <c r="AB21" i="4"/>
  <c r="J24" i="4"/>
  <c r="Z24" i="4"/>
  <c r="D25" i="4"/>
  <c r="T25" i="4"/>
  <c r="N26" i="4"/>
  <c r="AD26" i="4"/>
  <c r="H27" i="4"/>
  <c r="X27" i="4"/>
  <c r="R28" i="4"/>
  <c r="AH28" i="4"/>
  <c r="L29" i="4"/>
  <c r="AB29" i="4"/>
  <c r="J32" i="4"/>
  <c r="Z32" i="4"/>
  <c r="X25" i="1" l="1"/>
  <c r="X32" i="1"/>
  <c r="AC31" i="1"/>
  <c r="T31" i="1"/>
  <c r="AE31" i="1" s="1"/>
  <c r="X11" i="1"/>
  <c r="X22" i="1"/>
  <c r="X9" i="1"/>
  <c r="AC21" i="1"/>
  <c r="X26" i="1"/>
  <c r="X18" i="1"/>
  <c r="X36" i="1"/>
  <c r="O43" i="4"/>
  <c r="Z42" i="4"/>
  <c r="X10" i="1"/>
  <c r="AC17" i="1"/>
  <c r="T17" i="1"/>
  <c r="X17" i="1" s="1"/>
  <c r="AC16" i="1"/>
  <c r="T16" i="1"/>
  <c r="X16" i="1" s="1"/>
  <c r="T18" i="1"/>
  <c r="AC18" i="1"/>
  <c r="AC14" i="1"/>
  <c r="T14" i="1"/>
  <c r="U14" i="1" s="1"/>
  <c r="L43" i="4"/>
  <c r="AB43" i="4"/>
  <c r="AE42" i="4"/>
  <c r="T43" i="4"/>
  <c r="J43" i="4"/>
  <c r="X42" i="4"/>
  <c r="AB42" i="4"/>
  <c r="O42" i="4"/>
  <c r="AC10" i="1"/>
  <c r="G43" i="4"/>
  <c r="H43" i="4"/>
  <c r="T42" i="4"/>
  <c r="W42" i="4"/>
  <c r="D43" i="4"/>
  <c r="T21" i="1"/>
  <c r="X21" i="1" s="1"/>
  <c r="T24" i="1"/>
  <c r="U24" i="1" s="1"/>
  <c r="L42" i="4"/>
  <c r="Z43" i="4"/>
  <c r="X43" i="4"/>
  <c r="L40" i="1"/>
  <c r="L41" i="1" s="1"/>
  <c r="AC30" i="1"/>
  <c r="T30" i="1"/>
  <c r="X30" i="1" s="1"/>
  <c r="AC25" i="1"/>
  <c r="T25" i="1"/>
  <c r="T32" i="1"/>
  <c r="AC32" i="1"/>
  <c r="D42" i="4"/>
  <c r="R43" i="4"/>
  <c r="R42" i="4"/>
  <c r="AK33" i="4"/>
  <c r="AK37" i="4"/>
  <c r="AC43" i="4"/>
  <c r="AC42" i="4"/>
  <c r="U42" i="4"/>
  <c r="U43" i="4"/>
  <c r="J42" i="4"/>
  <c r="AF43" i="4"/>
  <c r="AF42" i="4"/>
  <c r="V43" i="4"/>
  <c r="V42" i="4"/>
  <c r="AK12" i="4"/>
  <c r="AK16" i="4"/>
  <c r="AC22" i="1"/>
  <c r="T22" i="1"/>
  <c r="T9" i="1"/>
  <c r="AC9" i="1"/>
  <c r="T35" i="1"/>
  <c r="X35" i="1" s="1"/>
  <c r="AC35" i="1"/>
  <c r="AK29" i="4"/>
  <c r="AE10" i="1"/>
  <c r="U10" i="1"/>
  <c r="M43" i="4"/>
  <c r="M42" i="4"/>
  <c r="E42" i="4"/>
  <c r="E43" i="4"/>
  <c r="H42" i="4"/>
  <c r="K43" i="4"/>
  <c r="K42" i="4"/>
  <c r="AC11" i="1"/>
  <c r="T11" i="1"/>
  <c r="AK20" i="4"/>
  <c r="AK24" i="4"/>
  <c r="AC20" i="1"/>
  <c r="T20" i="1"/>
  <c r="X20" i="1" s="1"/>
  <c r="AK40" i="4"/>
  <c r="S34" i="1"/>
  <c r="AK15" i="4"/>
  <c r="AK11" i="4"/>
  <c r="T28" i="1"/>
  <c r="X28" i="1" s="1"/>
  <c r="AC28" i="1"/>
  <c r="AI43" i="4"/>
  <c r="AI42" i="4"/>
  <c r="AE43" i="4"/>
  <c r="AK23" i="4"/>
  <c r="AK19" i="4"/>
  <c r="T23" i="1"/>
  <c r="X23" i="1" s="1"/>
  <c r="AC23" i="1"/>
  <c r="AK36" i="4"/>
  <c r="W43" i="4"/>
  <c r="AK14" i="4"/>
  <c r="G42" i="4"/>
  <c r="AC38" i="1"/>
  <c r="T38" i="1"/>
  <c r="X38" i="1" s="1"/>
  <c r="AK18" i="4"/>
  <c r="AK22" i="4"/>
  <c r="AK32" i="4"/>
  <c r="AE17" i="1"/>
  <c r="U17" i="1"/>
  <c r="T19" i="1"/>
  <c r="X19" i="1" s="1"/>
  <c r="AC19" i="1"/>
  <c r="AA43" i="4"/>
  <c r="AA42" i="4"/>
  <c r="T36" i="1"/>
  <c r="AC36" i="1"/>
  <c r="F43" i="4"/>
  <c r="F42" i="4"/>
  <c r="AK26" i="4"/>
  <c r="AK30" i="4"/>
  <c r="AE18" i="1"/>
  <c r="U18" i="1"/>
  <c r="AC33" i="1"/>
  <c r="T33" i="1"/>
  <c r="X33" i="1" s="1"/>
  <c r="AK31" i="4"/>
  <c r="AK39" i="4"/>
  <c r="I43" i="4"/>
  <c r="I42" i="4"/>
  <c r="AD43" i="4"/>
  <c r="AD42" i="4"/>
  <c r="T37" i="1"/>
  <c r="X37" i="1" s="1"/>
  <c r="AC37" i="1"/>
  <c r="AC27" i="1"/>
  <c r="T27" i="1"/>
  <c r="X27" i="1" s="1"/>
  <c r="AK34" i="4"/>
  <c r="AK38" i="4"/>
  <c r="Q43" i="4"/>
  <c r="Q42" i="4"/>
  <c r="AC15" i="1"/>
  <c r="T15" i="1"/>
  <c r="X15" i="1" s="1"/>
  <c r="T26" i="1"/>
  <c r="AC26" i="1"/>
  <c r="T12" i="1"/>
  <c r="X12" i="1" s="1"/>
  <c r="AC12" i="1"/>
  <c r="AK27" i="4"/>
  <c r="Y43" i="4"/>
  <c r="Y42" i="4"/>
  <c r="P42" i="4"/>
  <c r="P43" i="4"/>
  <c r="N43" i="4"/>
  <c r="N42" i="4"/>
  <c r="Z9" i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Z34" i="1" s="1"/>
  <c r="T8" i="1"/>
  <c r="X8" i="1" s="1"/>
  <c r="AC8" i="1"/>
  <c r="AK13" i="4"/>
  <c r="AK17" i="4"/>
  <c r="T13" i="1"/>
  <c r="X13" i="1" s="1"/>
  <c r="AC13" i="1"/>
  <c r="AE16" i="1"/>
  <c r="U16" i="1"/>
  <c r="AK28" i="4"/>
  <c r="AC29" i="1"/>
  <c r="T29" i="1"/>
  <c r="X29" i="1" s="1"/>
  <c r="AG43" i="4"/>
  <c r="AG42" i="4"/>
  <c r="AK35" i="4"/>
  <c r="S43" i="4"/>
  <c r="S42" i="4"/>
  <c r="C43" i="4"/>
  <c r="C42" i="4"/>
  <c r="AK10" i="4"/>
  <c r="AH43" i="4"/>
  <c r="AH42" i="4"/>
  <c r="AK21" i="4"/>
  <c r="AK25" i="4"/>
  <c r="X24" i="1" l="1"/>
  <c r="X14" i="1"/>
  <c r="X31" i="1"/>
  <c r="U31" i="1"/>
  <c r="S40" i="1"/>
  <c r="U21" i="1"/>
  <c r="AE21" i="1"/>
  <c r="AE24" i="1"/>
  <c r="AE14" i="1"/>
  <c r="D44" i="1"/>
  <c r="S41" i="1"/>
  <c r="AM34" i="4"/>
  <c r="AL34" i="4"/>
  <c r="U27" i="1"/>
  <c r="AE27" i="1"/>
  <c r="AE9" i="1"/>
  <c r="U9" i="1"/>
  <c r="AM17" i="4"/>
  <c r="AL17" i="4"/>
  <c r="AE38" i="1"/>
  <c r="U38" i="1"/>
  <c r="AM11" i="4"/>
  <c r="AL11" i="4"/>
  <c r="AM26" i="4"/>
  <c r="AL26" i="4"/>
  <c r="U13" i="1"/>
  <c r="AE13" i="1"/>
  <c r="AM35" i="4"/>
  <c r="AL35" i="4"/>
  <c r="AE25" i="1"/>
  <c r="U25" i="1"/>
  <c r="AL43" i="4"/>
  <c r="AL22" i="4"/>
  <c r="AM22" i="4"/>
  <c r="AE37" i="1"/>
  <c r="U37" i="1"/>
  <c r="AE36" i="1"/>
  <c r="U36" i="1"/>
  <c r="AL14" i="4"/>
  <c r="AM14" i="4"/>
  <c r="AE15" i="1"/>
  <c r="U15" i="1"/>
  <c r="AM36" i="4"/>
  <c r="AL36" i="4"/>
  <c r="U20" i="1"/>
  <c r="AE20" i="1"/>
  <c r="AE11" i="1"/>
  <c r="U11" i="1"/>
  <c r="AL30" i="4"/>
  <c r="AM30" i="4"/>
  <c r="AE22" i="1"/>
  <c r="U22" i="1"/>
  <c r="AM18" i="4"/>
  <c r="AL18" i="4"/>
  <c r="AE29" i="1"/>
  <c r="U29" i="1"/>
  <c r="Z35" i="1"/>
  <c r="Z36" i="1" s="1"/>
  <c r="Z37" i="1" s="1"/>
  <c r="Z38" i="1" s="1"/>
  <c r="Z39" i="1" s="1"/>
  <c r="Z40" i="1" s="1"/>
  <c r="Z41" i="1" s="1"/>
  <c r="AM39" i="4"/>
  <c r="AL39" i="4"/>
  <c r="AM31" i="4"/>
  <c r="AL31" i="4"/>
  <c r="AM37" i="4"/>
  <c r="AL37" i="4"/>
  <c r="AM27" i="4"/>
  <c r="AL27" i="4"/>
  <c r="AE12" i="1"/>
  <c r="U12" i="1"/>
  <c r="AM16" i="4"/>
  <c r="AL16" i="4"/>
  <c r="AM12" i="4"/>
  <c r="AL12" i="4"/>
  <c r="U26" i="1"/>
  <c r="AE26" i="1"/>
  <c r="AM28" i="4"/>
  <c r="AL28" i="4"/>
  <c r="U19" i="1"/>
  <c r="AE19" i="1"/>
  <c r="U23" i="1"/>
  <c r="AE23" i="1"/>
  <c r="AE30" i="1"/>
  <c r="U30" i="1"/>
  <c r="AM32" i="4"/>
  <c r="AL32" i="4"/>
  <c r="AM20" i="4"/>
  <c r="AL20" i="4"/>
  <c r="AM10" i="4"/>
  <c r="AL10" i="4"/>
  <c r="AM33" i="4"/>
  <c r="AL33" i="4"/>
  <c r="AM13" i="4"/>
  <c r="AL13" i="4"/>
  <c r="AM15" i="4"/>
  <c r="AL15" i="4"/>
  <c r="U32" i="1"/>
  <c r="AE32" i="1"/>
  <c r="AM25" i="4"/>
  <c r="AL25" i="4"/>
  <c r="AE33" i="1"/>
  <c r="U33" i="1"/>
  <c r="AM19" i="4"/>
  <c r="AL19" i="4"/>
  <c r="AM29" i="4"/>
  <c r="AL29" i="4"/>
  <c r="U35" i="1"/>
  <c r="AE35" i="1"/>
  <c r="AE28" i="1"/>
  <c r="U28" i="1"/>
  <c r="AC34" i="1"/>
  <c r="T34" i="1"/>
  <c r="T40" i="1" s="1"/>
  <c r="AM40" i="4"/>
  <c r="AL40" i="4"/>
  <c r="U8" i="1"/>
  <c r="AE8" i="1"/>
  <c r="AM21" i="4"/>
  <c r="AL21" i="4"/>
  <c r="AL38" i="4"/>
  <c r="AM38" i="4"/>
  <c r="AM23" i="4"/>
  <c r="AL23" i="4"/>
  <c r="AM24" i="4"/>
  <c r="AL24" i="4"/>
  <c r="X34" i="1" l="1"/>
  <c r="X40" i="1" s="1"/>
  <c r="X41" i="1" s="1"/>
  <c r="U34" i="1"/>
  <c r="U40" i="1" s="1"/>
  <c r="U41" i="1" s="1"/>
  <c r="AE34" i="1"/>
  <c r="D43" i="1"/>
  <c r="T41" i="1"/>
  <c r="D45" i="1"/>
</calcChain>
</file>

<file path=xl/sharedStrings.xml><?xml version="1.0" encoding="utf-8"?>
<sst xmlns="http://schemas.openxmlformats.org/spreadsheetml/2006/main" count="3713" uniqueCount="3664">
  <si>
    <t>GRAMEDIA</t>
  </si>
  <si>
    <t>REKONSILIASI OMSET BULAN :</t>
  </si>
  <si>
    <t xml:space="preserve">NOMOR REKENING : </t>
  </si>
  <si>
    <t>CARD GROUPING</t>
  </si>
  <si>
    <t>E-WALLET GROUPING</t>
  </si>
  <si>
    <t>versi 1.1 (final)</t>
  </si>
  <si>
    <t xml:space="preserve">DATE COPY </t>
  </si>
  <si>
    <t>DATE CONVERT SSRS</t>
  </si>
  <si>
    <t>DATE</t>
  </si>
  <si>
    <t xml:space="preserve">TRANSACTION </t>
  </si>
  <si>
    <t>CASH</t>
  </si>
  <si>
    <t xml:space="preserve">SAFE </t>
  </si>
  <si>
    <t>INT</t>
  </si>
  <si>
    <t>EXT</t>
  </si>
  <si>
    <t>CUSTOMER</t>
  </si>
  <si>
    <t>LOYALTY</t>
  </si>
  <si>
    <t>MOBILE</t>
  </si>
  <si>
    <t>CARD</t>
  </si>
  <si>
    <t>E-WALLET</t>
  </si>
  <si>
    <t>HCI</t>
  </si>
  <si>
    <t>SODEXO</t>
  </si>
  <si>
    <t>BT SLIP</t>
  </si>
  <si>
    <t>TENDER REMOVE</t>
  </si>
  <si>
    <t>DIFFERENCE</t>
  </si>
  <si>
    <t>DEPOSIT</t>
  </si>
  <si>
    <t>FIRST</t>
  </si>
  <si>
    <t xml:space="preserve">SECOND </t>
  </si>
  <si>
    <t>SELISIH</t>
  </si>
  <si>
    <t>DEPOSITED</t>
  </si>
  <si>
    <t>BALANCE</t>
  </si>
  <si>
    <t>TGL</t>
  </si>
  <si>
    <t xml:space="preserve">STATEMENT </t>
  </si>
  <si>
    <t>BANK</t>
  </si>
  <si>
    <t>DESCRIPTION</t>
  </si>
  <si>
    <t>CHECK</t>
  </si>
  <si>
    <t>Debit</t>
  </si>
  <si>
    <t xml:space="preserve">BCA </t>
  </si>
  <si>
    <t xml:space="preserve">Mandiri </t>
  </si>
  <si>
    <t>CIMB</t>
  </si>
  <si>
    <t xml:space="preserve">BNI </t>
  </si>
  <si>
    <t>BRI</t>
  </si>
  <si>
    <t>Citibank</t>
  </si>
  <si>
    <t>BTN</t>
  </si>
  <si>
    <t>DKI</t>
  </si>
  <si>
    <t>BSI</t>
  </si>
  <si>
    <t xml:space="preserve">OVO </t>
  </si>
  <si>
    <t xml:space="preserve">GOPAY </t>
  </si>
  <si>
    <t xml:space="preserve">SHOPEE PAY </t>
  </si>
  <si>
    <t xml:space="preserve">LINK AJA </t>
  </si>
  <si>
    <t xml:space="preserve">INDODANA </t>
  </si>
  <si>
    <t xml:space="preserve">KREDIVO </t>
  </si>
  <si>
    <t xml:space="preserve">ATOME </t>
  </si>
  <si>
    <t xml:space="preserve">DANA </t>
  </si>
  <si>
    <t>OTHER</t>
  </si>
  <si>
    <t>OMSET</t>
  </si>
  <si>
    <t>AMOUNT D365</t>
  </si>
  <si>
    <t>AMOUNT</t>
  </si>
  <si>
    <t>ACCOUNT IDR</t>
  </si>
  <si>
    <t xml:space="preserve"> IDR</t>
  </si>
  <si>
    <t>POS</t>
  </si>
  <si>
    <t>PLUXIE</t>
  </si>
  <si>
    <t>IN TRANSIT</t>
  </si>
  <si>
    <t>SETTLE</t>
  </si>
  <si>
    <t>NUMBER</t>
  </si>
  <si>
    <t>Card</t>
  </si>
  <si>
    <t>TOTAL</t>
  </si>
  <si>
    <t>Rata-rata</t>
  </si>
  <si>
    <t>Omzet Bank In</t>
  </si>
  <si>
    <t>Omzet AX</t>
  </si>
  <si>
    <t>Selisih</t>
  </si>
  <si>
    <t>Susun NIK Kasir di Kolom A</t>
  </si>
  <si>
    <t xml:space="preserve">CASHIER SHORTAGE </t>
  </si>
  <si>
    <t>NIK CASHIER</t>
  </si>
  <si>
    <t>STATEMENT NUMBER</t>
  </si>
  <si>
    <t>Cashier 1</t>
  </si>
  <si>
    <t>Cashier 2</t>
  </si>
  <si>
    <t>Cashier 3</t>
  </si>
  <si>
    <t>Cashier 4</t>
  </si>
  <si>
    <t>Cashier 5</t>
  </si>
  <si>
    <t>Cashier 6</t>
  </si>
  <si>
    <t>Cashier 7</t>
  </si>
  <si>
    <t>Cashier 8</t>
  </si>
  <si>
    <t>Cashier 9</t>
  </si>
  <si>
    <t>Cashier 10</t>
  </si>
  <si>
    <t>Cashier 11</t>
  </si>
  <si>
    <t>Cashier 12</t>
  </si>
  <si>
    <t>Cashier 13</t>
  </si>
  <si>
    <t>Cashier 14</t>
  </si>
  <si>
    <t>Cashier 15</t>
  </si>
  <si>
    <t>Cashier 16</t>
  </si>
  <si>
    <t>Cashier 17</t>
  </si>
  <si>
    <t>Cashier 18</t>
  </si>
  <si>
    <t>Cashier 19</t>
  </si>
  <si>
    <t>Cashier 20</t>
  </si>
  <si>
    <t>Cashier 21</t>
  </si>
  <si>
    <t>Cashier 22</t>
  </si>
  <si>
    <t>Cashier 23</t>
  </si>
  <si>
    <t>Cashier 24</t>
  </si>
  <si>
    <t>Cashier 25</t>
  </si>
  <si>
    <t>Cashier 26</t>
  </si>
  <si>
    <t>Cashier 27</t>
  </si>
  <si>
    <t>Cashier 28</t>
  </si>
  <si>
    <t>Cashier 29</t>
  </si>
  <si>
    <t>Cashier 30</t>
  </si>
  <si>
    <t>Cashier 31</t>
  </si>
  <si>
    <t>Cashier 32</t>
  </si>
  <si>
    <t>Cashier 33</t>
  </si>
  <si>
    <t>NAME CASHIER</t>
  </si>
  <si>
    <t>TOTAL SHORTAGE</t>
  </si>
  <si>
    <t>TOTAL MINUS</t>
  </si>
  <si>
    <t>NIK</t>
  </si>
  <si>
    <t>NAMA</t>
  </si>
  <si>
    <t>ILHAM TAUFIK HIDAYAT</t>
  </si>
  <si>
    <t>FAJAR YUDHI PRASETYO</t>
  </si>
  <si>
    <t>VISSIA AGNES TRI REJEKI</t>
  </si>
  <si>
    <t>YULFINA</t>
  </si>
  <si>
    <t>BUDI SANTOSO</t>
  </si>
  <si>
    <t>ARIF HARTONO</t>
  </si>
  <si>
    <t>N YETI NURBAETI</t>
  </si>
  <si>
    <t>SAFIRA ELYAFEI</t>
  </si>
  <si>
    <t>AULIA NANDA RATIH FADILLAH</t>
  </si>
  <si>
    <t>MARIA JEANETE JAWA</t>
  </si>
  <si>
    <t>AKHMAD SULTAN MASHURIDHO</t>
  </si>
  <si>
    <t>MUHAMMAD FIKRY KURNIAWAN</t>
  </si>
  <si>
    <t>DEWI RAHAYU</t>
  </si>
  <si>
    <t>WANDA FARICHA</t>
  </si>
  <si>
    <t>YUNIZAR</t>
  </si>
  <si>
    <t>RUMONDANG NOVIANCE</t>
  </si>
  <si>
    <t>SISWANTOJATI WIDIYANTO ALBERTUS</t>
  </si>
  <si>
    <t>ADITYA SANDRA PUTERA</t>
  </si>
  <si>
    <t>AUDINA MIRANTY</t>
  </si>
  <si>
    <t>RAJA HERMAN GAYUS SIAHAAN</t>
  </si>
  <si>
    <t>SADEWO PUTRA DWIANDANTO</t>
  </si>
  <si>
    <t>RISMA SAFITRI</t>
  </si>
  <si>
    <t>LILIS SURYANINGSIH</t>
  </si>
  <si>
    <t>MARIA ANGELA MAHARANI AGUNG ZEBUA</t>
  </si>
  <si>
    <t>ZAHIR FABIAN RASYID HIDAYAT</t>
  </si>
  <si>
    <t>SORAYA FIRMANSJAH</t>
  </si>
  <si>
    <t>FAHMI DARUSSALAM WARGADINATA</t>
  </si>
  <si>
    <t>ESRA HENITA MARITO B</t>
  </si>
  <si>
    <t>MUHAMMAD BAGAS SATRIO WIBOWO</t>
  </si>
  <si>
    <t>RACHEL NASYWA AURELIA</t>
  </si>
  <si>
    <t>REZZA PATRIA WIBOWO</t>
  </si>
  <si>
    <t>ALCHIA AMANDA PUTRI</t>
  </si>
  <si>
    <t>ADELBERTUS DHARMA WIJAYATAMA</t>
  </si>
  <si>
    <t>MIFTHA OLIVIA RAHMA</t>
  </si>
  <si>
    <t>MOCHAMAD YASSER YUSUF</t>
  </si>
  <si>
    <t>MUHAMMAD BINTANG WALUYA</t>
  </si>
  <si>
    <t>FAHMI JAMALUDIN</t>
  </si>
  <si>
    <t>BUTET SUWARNITA SITOMPUL</t>
  </si>
  <si>
    <t>ANITA SARI SUPIANTY</t>
  </si>
  <si>
    <t>ANDREAS TINTON BHARA TAMA</t>
  </si>
  <si>
    <t>CHOIRIN ASFIANI</t>
  </si>
  <si>
    <t>SYLVI ELLYUSMAN</t>
  </si>
  <si>
    <t>KENNIA DWITA RACHMANI</t>
  </si>
  <si>
    <t>JOSEPH</t>
  </si>
  <si>
    <t>ANDREW NICKY KURNIAWAN</t>
  </si>
  <si>
    <t>MEYLINA HERDIANTI</t>
  </si>
  <si>
    <t>ALUISIUS ARI SUBAGIJO</t>
  </si>
  <si>
    <t>GREGORIUS STEVEN HARYANTO</t>
  </si>
  <si>
    <t>MUHAMMAD RAZIV ZULFIKAR</t>
  </si>
  <si>
    <t>DENI RUHYANI</t>
  </si>
  <si>
    <t>SUBANDIYONO</t>
  </si>
  <si>
    <t>SOPIAN SANTOSA</t>
  </si>
  <si>
    <t>AGUNG SUDONO</t>
  </si>
  <si>
    <t>MICHAEL TOLHAS PARULIAN</t>
  </si>
  <si>
    <t>AGUNG WICAKSONO HANGGORO JATI</t>
  </si>
  <si>
    <t>ICHWANUL AZIZ MUSTAQIM</t>
  </si>
  <si>
    <t>AGUNG DOCMAN PRIATAMA</t>
  </si>
  <si>
    <t>DIDIK TRI WIDIYARTO</t>
  </si>
  <si>
    <t>RADEN FADLY KAMAL NUGRAHA</t>
  </si>
  <si>
    <t>SIDIK PRAWOTO</t>
  </si>
  <si>
    <t>ARISMAN</t>
  </si>
  <si>
    <t>DWI ANDIEK ROSDJATMIKO</t>
  </si>
  <si>
    <t>TRI BUSONO</t>
  </si>
  <si>
    <t>MARTINUS WIDODO</t>
  </si>
  <si>
    <t>SUMITRO</t>
  </si>
  <si>
    <t>BUDI SUSANTO</t>
  </si>
  <si>
    <t>ANANTO PRAKTIKNO</t>
  </si>
  <si>
    <t>PONEN</t>
  </si>
  <si>
    <t>AGUS YULIANTO</t>
  </si>
  <si>
    <t>ENTUS MAMUN</t>
  </si>
  <si>
    <t>MOHAMAD ROFIQ ZAENAL</t>
  </si>
  <si>
    <t>YUSTINUS EDY KUSNANTO</t>
  </si>
  <si>
    <t>MANSYUR</t>
  </si>
  <si>
    <t>WIDIARTO</t>
  </si>
  <si>
    <t>TH DWI ANGGRAENI UJININGSIH</t>
  </si>
  <si>
    <t>SRI MULYANI</t>
  </si>
  <si>
    <t>FAUZI</t>
  </si>
  <si>
    <t>SUKIMAN</t>
  </si>
  <si>
    <t>YULIANTO PRASETYO WIBOWO</t>
  </si>
  <si>
    <t>SUTONO</t>
  </si>
  <si>
    <t>MUCHSIN ALHABSJI</t>
  </si>
  <si>
    <t>IVO BORTHOLOMEUS BARUS</t>
  </si>
  <si>
    <t>FRANCISCUS PRIYANTA YULIANTA</t>
  </si>
  <si>
    <t>BOKHORI MUSLIM</t>
  </si>
  <si>
    <t>HENDRI FRISTYANTO</t>
  </si>
  <si>
    <t>ANTONIUS KURNIAWAN RAHADI</t>
  </si>
  <si>
    <t>ADI SETIAWAN</t>
  </si>
  <si>
    <t>HAMZAH RINALDI</t>
  </si>
  <si>
    <t>AAT PETAKUMALA</t>
  </si>
  <si>
    <t>NUR ALAM</t>
  </si>
  <si>
    <t>DAVID ANDRIANTO</t>
  </si>
  <si>
    <t>SANTO MARIHOTTUA GULTOM</t>
  </si>
  <si>
    <t>GUSRI ALIF RADITYO</t>
  </si>
  <si>
    <t>ELEONORA ANGGI ARDHANINGGAR</t>
  </si>
  <si>
    <t>MUHAMAD FAISAL AZHAR</t>
  </si>
  <si>
    <t>HELEN NATALIA</t>
  </si>
  <si>
    <t>DIMAS ALFIANSYAH</t>
  </si>
  <si>
    <t>MUHAMMAD ROSYID SUSENO</t>
  </si>
  <si>
    <t>ZULKIFLI</t>
  </si>
  <si>
    <t>SAEPUL ROHMAN</t>
  </si>
  <si>
    <t>JOKO PURNOMO</t>
  </si>
  <si>
    <t>WAWAN RISWANTO HADI</t>
  </si>
  <si>
    <t>IMAM BUDIAWAN</t>
  </si>
  <si>
    <t>NINING LESTARI WIDIYAWATI</t>
  </si>
  <si>
    <t>EDWIN SUTRISNO</t>
  </si>
  <si>
    <t>IRFAN PURNAMA</t>
  </si>
  <si>
    <t>SCHOLASTICA DIAN PRAMESTINETRA PRAMODHAWARDANY</t>
  </si>
  <si>
    <t>MUHAMMAD IQBAL</t>
  </si>
  <si>
    <t>HERU SETYONO</t>
  </si>
  <si>
    <t>EDWAR RINALDO</t>
  </si>
  <si>
    <t>CHRIS SUBUR BUDIANTO W</t>
  </si>
  <si>
    <t>CHARLIE PAMUNGKAS</t>
  </si>
  <si>
    <t>VINCENT ROBERTO OSMOND</t>
  </si>
  <si>
    <t>MIKHA MARANATHA KURNIAWAN</t>
  </si>
  <si>
    <t>ARLIN CAHYA AGUSTIN</t>
  </si>
  <si>
    <t>YOSEF ADITYO NUGROHO</t>
  </si>
  <si>
    <t>NABILA FRITHANIA</t>
  </si>
  <si>
    <t>AGAPHIER REDHA BRAMANTYA</t>
  </si>
  <si>
    <t>ARDELLA ARETHANEGARA</t>
  </si>
  <si>
    <t>IRMA AULIA IRAWAN</t>
  </si>
  <si>
    <t>ACHMAD BAIHAKI</t>
  </si>
  <si>
    <t>FEBRI ADIPUTRA</t>
  </si>
  <si>
    <t>BAGUS MUHAMAD ADAM</t>
  </si>
  <si>
    <t>DEVIYANTY KARTIKA</t>
  </si>
  <si>
    <t>HENDI FREDIAN</t>
  </si>
  <si>
    <t>DWI HARYANTI</t>
  </si>
  <si>
    <t>NOVIA PUTRI ANINDHITA</t>
  </si>
  <si>
    <t>FABIAN ALIFIAR RAMADANTE</t>
  </si>
  <si>
    <t>RIKA MARISKA R GULTOM</t>
  </si>
  <si>
    <t>LUCKY PRATAMA SOPYANTORO</t>
  </si>
  <si>
    <t>RAHADIAN FAJAR ISKANDAR</t>
  </si>
  <si>
    <t>FILIP STEPHANUS KHURNIAWAN</t>
  </si>
  <si>
    <t>IZZATI DALILAH</t>
  </si>
  <si>
    <t>AILEEN VELISHYA</t>
  </si>
  <si>
    <t>NURHADIYATI</t>
  </si>
  <si>
    <t>JOANNE CHRISTINA EVANGELISTA</t>
  </si>
  <si>
    <t>KIKI MELACLARA WAHYUDI</t>
  </si>
  <si>
    <t>WINDA WAHYUNI</t>
  </si>
  <si>
    <t>ADHITAMA PRAWIRASUNU</t>
  </si>
  <si>
    <t>TERESA ISWARA WIDYASMARA</t>
  </si>
  <si>
    <t>GLLEEN ALLAN M</t>
  </si>
  <si>
    <t>MUHAMMAD HANIF RAMADHAN</t>
  </si>
  <si>
    <t>PUTRI NAWANGTARI</t>
  </si>
  <si>
    <t>TRIANI ANJASWARI</t>
  </si>
  <si>
    <t>IRWAN ALAMSYAH</t>
  </si>
  <si>
    <t>VICKY</t>
  </si>
  <si>
    <t>AHMAD FAHMI AISAR</t>
  </si>
  <si>
    <t>ADITYA CHAMIM PRATAMA</t>
  </si>
  <si>
    <t>TIARA AMELIA</t>
  </si>
  <si>
    <t>CALVIN ANDHIKA</t>
  </si>
  <si>
    <t>PUTRA JAYA</t>
  </si>
  <si>
    <t>PRASETYO YUDHO PURNOMO</t>
  </si>
  <si>
    <t>ZAKHAYU RIAN</t>
  </si>
  <si>
    <t>OLIVIA RUMIRIS SITANGGANG</t>
  </si>
  <si>
    <t>TAUPIK OTO ISMAIL</t>
  </si>
  <si>
    <t>BAYU RAMADEZA</t>
  </si>
  <si>
    <t>THEOPHANY SAKRA MUHAMMAD</t>
  </si>
  <si>
    <t>LEMUEL LANCASTER</t>
  </si>
  <si>
    <t>SAFIRA AUDRE</t>
  </si>
  <si>
    <t>AL IHSAN</t>
  </si>
  <si>
    <t>ANGGA ARYA SAPUTRA</t>
  </si>
  <si>
    <t>MUHAMMAD GANI QODRATUL IHSAN</t>
  </si>
  <si>
    <t>EZA ADITYA ZULFACHRY</t>
  </si>
  <si>
    <t>PRADIPTA BASKARA</t>
  </si>
  <si>
    <t>AGUNG PRABOWO</t>
  </si>
  <si>
    <t>AJI HANGGORO</t>
  </si>
  <si>
    <t>WILLY DOCKSHA MARHAENDRA</t>
  </si>
  <si>
    <t>KEVIN TRUMAN</t>
  </si>
  <si>
    <t>ACHWAN YUSUF</t>
  </si>
  <si>
    <t>ERWIN WAHYU RAMADHAN</t>
  </si>
  <si>
    <t>MOCH MAULANA ARDIANSYAH</t>
  </si>
  <si>
    <t>ARIZKI</t>
  </si>
  <si>
    <t>AHMAD JAELANI</t>
  </si>
  <si>
    <t>DIANITA ANANDA EKA PUTRI</t>
  </si>
  <si>
    <t>PUTRI ATALAPU</t>
  </si>
  <si>
    <t>JIHAN DINA SUKMA</t>
  </si>
  <si>
    <t>ALVINO PRANATA</t>
  </si>
  <si>
    <t>SAYID HAIKHAL LUQMANUL HAKIM</t>
  </si>
  <si>
    <t>YASHINTA ASYERA PRATIDINA HERMAWAN</t>
  </si>
  <si>
    <t>LAILA WULANALFI</t>
  </si>
  <si>
    <t>M HANIF ARIKHOH</t>
  </si>
  <si>
    <t>DHAFIN FADHIL MUHAMMAD</t>
  </si>
  <si>
    <t>ALFARIDZI ILHAM SUTEDJO</t>
  </si>
  <si>
    <t>AINUN NUFUS</t>
  </si>
  <si>
    <t>TH MARIA NUGRAHATI</t>
  </si>
  <si>
    <t>ESTER RATIH DWIHAPSARI</t>
  </si>
  <si>
    <t>MARDHIANA KOESUMAWATI</t>
  </si>
  <si>
    <t>MARDI SISWOKO BAKTI</t>
  </si>
  <si>
    <t>LEO PARAMADITA GITOMARTOYO</t>
  </si>
  <si>
    <t>SIROJUL FAHMI</t>
  </si>
  <si>
    <t>WINDI CHRISDININGRUM</t>
  </si>
  <si>
    <t>NUR INDAH SULISTIYANI</t>
  </si>
  <si>
    <t>DIAZ JASMINE ARIEFTA</t>
  </si>
  <si>
    <t>EKA SETIAWAN PERMANADIPA SASTRADIPURA</t>
  </si>
  <si>
    <t>SRI OLIVIA MARIETTA FAU</t>
  </si>
  <si>
    <t>FADILA INDAH SARI</t>
  </si>
  <si>
    <t>VERA AMELIA SUHERMAN</t>
  </si>
  <si>
    <t>ANNE SANTOSA</t>
  </si>
  <si>
    <t>ANASTASHA SAVIRA JOSEPINA</t>
  </si>
  <si>
    <t>VIVIAN GIOVANNY</t>
  </si>
  <si>
    <t>ANISSA PUTRI</t>
  </si>
  <si>
    <t>FLAMY ANGELINE</t>
  </si>
  <si>
    <t>REIZA INSAN KAMIL</t>
  </si>
  <si>
    <t>ADILA VERNIAS MELININA</t>
  </si>
  <si>
    <t>AURELLIA DESTIERA LENKA</t>
  </si>
  <si>
    <t>LISA FIBIANA</t>
  </si>
  <si>
    <t>NIRWASITA FATHINAH MAHARANI</t>
  </si>
  <si>
    <t>TIMOTHY AMADEUS HERLAMBANG</t>
  </si>
  <si>
    <t>PHOEBE VALENCIA</t>
  </si>
  <si>
    <t>VANIA NOVIE ANDINI</t>
  </si>
  <si>
    <t>MUHAMMAD RAYNALDI FAUZY</t>
  </si>
  <si>
    <t>KENNY DWI RESPATI</t>
  </si>
  <si>
    <t>DEFTY ALSRI</t>
  </si>
  <si>
    <t>LENDA WAHYUNINGSIH</t>
  </si>
  <si>
    <t>HERI GUNAWAN</t>
  </si>
  <si>
    <t>ARDIAN SETYO PUTRO</t>
  </si>
  <si>
    <t>DANU INDRAKARYANA</t>
  </si>
  <si>
    <t>SYAMSUL RESA SAPUTRA SHOBIRIN</t>
  </si>
  <si>
    <t>ARIELLA IVANA S</t>
  </si>
  <si>
    <t>DINANTO PRIO DHARSONO</t>
  </si>
  <si>
    <t>INDIWAN TAQY PRATYAKSA</t>
  </si>
  <si>
    <t>MAMORA BASARIA HARAHAP</t>
  </si>
  <si>
    <t>NANDY PRIMANDHA</t>
  </si>
  <si>
    <t>NADIRA ADINTIANTI</t>
  </si>
  <si>
    <t>FATHAN AGUSTIAN THAHER</t>
  </si>
  <si>
    <t>AGNES SEKAR ARUM JATI</t>
  </si>
  <si>
    <t>RIZKY SAFE</t>
  </si>
  <si>
    <t>ANGELA RIKA</t>
  </si>
  <si>
    <t>ANISA GALUH SETYA YULISTYARINI</t>
  </si>
  <si>
    <t>NOLLA ANGELY</t>
  </si>
  <si>
    <t>ANANDA FATIMAH KHAIRUNNISA</t>
  </si>
  <si>
    <t>EZA OKTA AFIFAH</t>
  </si>
  <si>
    <t>DEWI UTARI</t>
  </si>
  <si>
    <t>VARELZA GERALDO</t>
  </si>
  <si>
    <t>GANIS AYUDYAH PUTRI</t>
  </si>
  <si>
    <t>LUSIANA INDAH PRADITA</t>
  </si>
  <si>
    <t>CITRA YUNIAR DARMAWAN</t>
  </si>
  <si>
    <t>GUSTINA</t>
  </si>
  <si>
    <t>DIGNA MARIA SETIO DEWAYANTI</t>
  </si>
  <si>
    <t>ERY HERIAWAN</t>
  </si>
  <si>
    <t>MARIA PUTRI CALISTA</t>
  </si>
  <si>
    <t>HAGI RIANDI</t>
  </si>
  <si>
    <t>APRILIA BERTHA PUSPITASARI</t>
  </si>
  <si>
    <t>HILDA ANGGRAINI</t>
  </si>
  <si>
    <t>REZA KUSUMAWARDHANA</t>
  </si>
  <si>
    <t>ERIKA TIARA KUSUMA</t>
  </si>
  <si>
    <t>MADE RUSWIDHI SULTRAWAN</t>
  </si>
  <si>
    <t>FENNY NURMAYA</t>
  </si>
  <si>
    <t>GABRIELLA AJENG LARASATI</t>
  </si>
  <si>
    <t>LIA SETIAWAN</t>
  </si>
  <si>
    <t>ABDURRAHMAN</t>
  </si>
  <si>
    <t>SARAS WANGI</t>
  </si>
  <si>
    <t>WALUYO</t>
  </si>
  <si>
    <t>ISMAWATI AKBARI</t>
  </si>
  <si>
    <t>ALPHONSUS AGUS ADHILAKSONO</t>
  </si>
  <si>
    <t>TUTI WAHYUNINGRUM</t>
  </si>
  <si>
    <t>MUHAMMAD JUNAEDI</t>
  </si>
  <si>
    <t>DIEN OKTAVIA ROKHMAH</t>
  </si>
  <si>
    <t>KURNIAWAN KRISHANTORO</t>
  </si>
  <si>
    <t>SRI WAHYUNI</t>
  </si>
  <si>
    <t>MORA MARULITUA ANDRI LIMBONG</t>
  </si>
  <si>
    <t>ALBERTUS BAMBANG NURCAHYO</t>
  </si>
  <si>
    <t>YOHANITA LINI SUKAWATI</t>
  </si>
  <si>
    <t>RITANA PARHUSIP</t>
  </si>
  <si>
    <t>THOMAS YUDHA ARDIANTO</t>
  </si>
  <si>
    <t>AHMAT HADI</t>
  </si>
  <si>
    <t>MUHAMMAD FAIZAL AKBAR</t>
  </si>
  <si>
    <t>ENNY IRAWATI</t>
  </si>
  <si>
    <t>SUBAGYO AGUNG WIBOWO</t>
  </si>
  <si>
    <t>MARIA AGUSTINA RIANTHY</t>
  </si>
  <si>
    <t>ANISA ANGGARANI</t>
  </si>
  <si>
    <t>KHARISMA HAIDAR HANIF</t>
  </si>
  <si>
    <t>FARHAN MUJIBUR RIFQI</t>
  </si>
  <si>
    <t>ALFHA MILLEGA AVICENNA</t>
  </si>
  <si>
    <t>GRISELDA DEVINA ARDITA</t>
  </si>
  <si>
    <t>FARHAN AGUSTIAN WIJAYA</t>
  </si>
  <si>
    <t>PRAMESTI PUTRI MAHARANI</t>
  </si>
  <si>
    <t>SUPRIYATNO</t>
  </si>
  <si>
    <t>ANAK AGUNG ISTRI DIAH KOM</t>
  </si>
  <si>
    <t>BUDI RISWONO</t>
  </si>
  <si>
    <t>KARYONO</t>
  </si>
  <si>
    <t>ARJUNANTO</t>
  </si>
  <si>
    <t>NI NYOMAN ARNI</t>
  </si>
  <si>
    <t>PUJI WALUYO</t>
  </si>
  <si>
    <t>DIDIK KRISTIAWAN</t>
  </si>
  <si>
    <t>LINDA AMELIA</t>
  </si>
  <si>
    <t>ILARIA ILLAH SILVIANI</t>
  </si>
  <si>
    <t>DITA ARISANTI</t>
  </si>
  <si>
    <t>ANISA SRI HARTINI</t>
  </si>
  <si>
    <t>DIMAS PRAYOGO</t>
  </si>
  <si>
    <t>ONNY INDA TRISNA</t>
  </si>
  <si>
    <t>AGUNG INDRA MAULANA</t>
  </si>
  <si>
    <t>VIVIN ANGGRAINI</t>
  </si>
  <si>
    <t>INDAH TRI MISNAWATI</t>
  </si>
  <si>
    <t>MA ARIF FIRDAUS</t>
  </si>
  <si>
    <t>RADITA AZZAHRA</t>
  </si>
  <si>
    <t>REISYA OLIVIA RAHMA</t>
  </si>
  <si>
    <t>GUNAWAN SANTOSO</t>
  </si>
  <si>
    <t>FELIX KAMANG ANTONIO PURNOMO</t>
  </si>
  <si>
    <t>YUDHANTIPUTRI SUPARTONO</t>
  </si>
  <si>
    <t>TRISKA ROSARI ADA</t>
  </si>
  <si>
    <t>DHAFIN AGUNG HERVIANSYAH</t>
  </si>
  <si>
    <t>EKA CAHYANA</t>
  </si>
  <si>
    <t>AHMAD SISWANTO</t>
  </si>
  <si>
    <t>PAIDI</t>
  </si>
  <si>
    <t>PETRUS APRIYANTO SETYAWAN</t>
  </si>
  <si>
    <t>DAMAR BINTORO</t>
  </si>
  <si>
    <t>SARIPUDDIN</t>
  </si>
  <si>
    <t>INDRA IRAWAN</t>
  </si>
  <si>
    <t>RISKY ARDY SAPUTRA</t>
  </si>
  <si>
    <t>VALENCIA ALWI</t>
  </si>
  <si>
    <t>PRADANA ANTON SUJARWO</t>
  </si>
  <si>
    <t>SEPTIAN HADI ALIF PRATAMA</t>
  </si>
  <si>
    <t>NOVITA SARI</t>
  </si>
  <si>
    <t>STELLA CHRISTY SAMBAS</t>
  </si>
  <si>
    <t>NEVITA RIZKI ARIYANI</t>
  </si>
  <si>
    <t>MAHDIYAH SEPTIYANI LARASATI</t>
  </si>
  <si>
    <t>UMAR ZAIN ABDUL AZIZ</t>
  </si>
  <si>
    <t>RATIH KUSUMA WARDHANI</t>
  </si>
  <si>
    <t>RENARDI KRISHNA ADYA PUTRA</t>
  </si>
  <si>
    <t>MILITIA CHRISTY AMANDA</t>
  </si>
  <si>
    <t>YOVITA PERLINE</t>
  </si>
  <si>
    <t>NADYA RISANDA PUTRI</t>
  </si>
  <si>
    <t>WIDHI ALIF PRAMUJA</t>
  </si>
  <si>
    <t>ANASTASIA DINDA PUTRI ADHIMUKTI</t>
  </si>
  <si>
    <t>WARGIMAN</t>
  </si>
  <si>
    <t>YOHANES BAPTISTA SUPRIYATNO</t>
  </si>
  <si>
    <t>ANTONIUS ROSMALINDRA YAHYA</t>
  </si>
  <si>
    <t>DENI RAHMAN</t>
  </si>
  <si>
    <t>MARIA MAYASANTI MITAN</t>
  </si>
  <si>
    <t>PIET HENDRIANTO</t>
  </si>
  <si>
    <t>MENIK SURYANINGSIH</t>
  </si>
  <si>
    <t>MARIA MAGDALENA KUSUMASTUTI</t>
  </si>
  <si>
    <t>OSMOND VITO ELIAZAR</t>
  </si>
  <si>
    <t>AJENG RETNO KUSUMAWATI</t>
  </si>
  <si>
    <t>KANYA CIRGA SURYADEWI</t>
  </si>
  <si>
    <t>MOCHAMAD NAZIBULLOH</t>
  </si>
  <si>
    <t>DEVINA TANDOKO</t>
  </si>
  <si>
    <t>VIRGIAWAN RAMADHAN INPUT LISTANTO</t>
  </si>
  <si>
    <t>ZARAH ASUKA MIYANOMAE</t>
  </si>
  <si>
    <t>THERESIA ADINDA KUSUMA ASTUTI</t>
  </si>
  <si>
    <t>TIARA MALIANA</t>
  </si>
  <si>
    <t>MUTIARA AFIFAH RABBANI</t>
  </si>
  <si>
    <t>AHMAD DZAKI FADHLULLAH DJATI</t>
  </si>
  <si>
    <t>ADMINELIE DWI SEPTIA INDRAPURI</t>
  </si>
  <si>
    <t>ADRIANA</t>
  </si>
  <si>
    <t>STEFANIE ROROYANTI</t>
  </si>
  <si>
    <t>HIZKIA ARIEF</t>
  </si>
  <si>
    <t>MOCHAMMAD ABDUL RACHMAN</t>
  </si>
  <si>
    <t>BELLARMINO KRISHNA WARDHANA</t>
  </si>
  <si>
    <t>JATI KOESUMO</t>
  </si>
  <si>
    <t>ANASTASIA SUSI LESTARI</t>
  </si>
  <si>
    <t>FIRMAN MAULANA</t>
  </si>
  <si>
    <t>WAHYUDI</t>
  </si>
  <si>
    <t>SUYATNO</t>
  </si>
  <si>
    <t>ADI TRI EKA</t>
  </si>
  <si>
    <t>JOUKE FERONITA TAMBAJONG</t>
  </si>
  <si>
    <t>BAMBANG SUMITRO</t>
  </si>
  <si>
    <t>YENI KUNTIMAWATI</t>
  </si>
  <si>
    <t>ROSDIANA SITANGGANG</t>
  </si>
  <si>
    <t>Y SUMANTO SENO ADJI</t>
  </si>
  <si>
    <t>NETI NURHAYATI</t>
  </si>
  <si>
    <t>RIZKIE WIDIASTUTI</t>
  </si>
  <si>
    <t>PURWANTI</t>
  </si>
  <si>
    <t>ADI TRIYONO</t>
  </si>
  <si>
    <t>MARTHA A HARY PUSPADEWI</t>
  </si>
  <si>
    <t>RADEN ADRIAN RADITYA DANISWORO</t>
  </si>
  <si>
    <t>YOHANES AUDI REFO BAYU ARDIANT</t>
  </si>
  <si>
    <t>SUNARTO</t>
  </si>
  <si>
    <t>SRI HARTANTO RAHMAD</t>
  </si>
  <si>
    <t>ALLYSYA LAILLA BILQIIS</t>
  </si>
  <si>
    <t>MERIDIAH</t>
  </si>
  <si>
    <t>AGATHA TRI WIDAYATI</t>
  </si>
  <si>
    <t>KATARINA TRI SUPRAPTI</t>
  </si>
  <si>
    <t>RIRIS KORNITA</t>
  </si>
  <si>
    <t>BENY SUBIARTO</t>
  </si>
  <si>
    <t>ROSALINA</t>
  </si>
  <si>
    <t>JONO</t>
  </si>
  <si>
    <t>AGUSTAR PARNINGOTAN</t>
  </si>
  <si>
    <t>WIWEKO ADHI NEGORO</t>
  </si>
  <si>
    <t>FREDDY WIJAYA</t>
  </si>
  <si>
    <t>CHRISTOFORUS BARUNA C L</t>
  </si>
  <si>
    <t>YOSERIZAL</t>
  </si>
  <si>
    <t>SUGIARTO</t>
  </si>
  <si>
    <t>THERESIA SATYA CHRISTI</t>
  </si>
  <si>
    <t>BENEDIKTUS AXEL EKAPUTRA</t>
  </si>
  <si>
    <t>YULI WIJAYANTI</t>
  </si>
  <si>
    <t>CHRISTINE NOVITA HADINOTO</t>
  </si>
  <si>
    <t>RISNO HADI</t>
  </si>
  <si>
    <t>ANITA SRI RAHAYU</t>
  </si>
  <si>
    <t>SUNENTI PERTAMA WATI</t>
  </si>
  <si>
    <t>RETNO KUSNANDARI</t>
  </si>
  <si>
    <t>MOHAMMAD SHOLEH SHIDIQ</t>
  </si>
  <si>
    <t>MUHAMAD IRPAN</t>
  </si>
  <si>
    <t>TERTOYONO AGUS W SUDEWO</t>
  </si>
  <si>
    <t>KOESNI HARIJANTO</t>
  </si>
  <si>
    <t>GIYARNO AHMAD SANUSI</t>
  </si>
  <si>
    <t>MARDI</t>
  </si>
  <si>
    <t>MAWARDI</t>
  </si>
  <si>
    <t>SIRMAULINA SIMANULLANG</t>
  </si>
  <si>
    <t>SUPRIADI</t>
  </si>
  <si>
    <t>IR HERU YUDIANTO</t>
  </si>
  <si>
    <t>JUNAIDI</t>
  </si>
  <si>
    <t>ADHY PRASETYO</t>
  </si>
  <si>
    <t>WAHYU MARDIANSYAH</t>
  </si>
  <si>
    <t>SUWITO</t>
  </si>
  <si>
    <t>FADHIL HADI JATMIKO</t>
  </si>
  <si>
    <t>IMAM SAFRIANTO</t>
  </si>
  <si>
    <t>MUHAMAD DONDI</t>
  </si>
  <si>
    <t>CANDRA MAS BAYU PUTRA PAHLEVI</t>
  </si>
  <si>
    <t>ENDRA BAYU WIBOWO</t>
  </si>
  <si>
    <t>IMAM SURURI</t>
  </si>
  <si>
    <t>MUH ALI MUFRODI</t>
  </si>
  <si>
    <t>NUR CAHYADI SUNANTA</t>
  </si>
  <si>
    <t>DANI PRABOWO</t>
  </si>
  <si>
    <t>MUHAMAD REYNALDI</t>
  </si>
  <si>
    <t>REVI ANDRIANTO</t>
  </si>
  <si>
    <t>PALMA ADITYA NOVANDA</t>
  </si>
  <si>
    <t>HENDRO PRASETYO UTOMO</t>
  </si>
  <si>
    <t>ARMAN MULIA</t>
  </si>
  <si>
    <t>YUDA SAPUTRO</t>
  </si>
  <si>
    <t>IRFAN WIDYADHANA</t>
  </si>
  <si>
    <t>ALFIONA MARTHA NINDYANINGRUM</t>
  </si>
  <si>
    <t>DAMAR KINANTHI WIDYANITA</t>
  </si>
  <si>
    <t>MOHAMAD SODIK</t>
  </si>
  <si>
    <t>WIDI SUDJATMIKA</t>
  </si>
  <si>
    <t>ALEXANDER JOKO SUPRIYANTO</t>
  </si>
  <si>
    <t>MEGAWATI</t>
  </si>
  <si>
    <t>GATOT JAKA TIMUR</t>
  </si>
  <si>
    <t>BELLY KUSUMA ADINATA</t>
  </si>
  <si>
    <t>NABILA UTAMI</t>
  </si>
  <si>
    <t>ESA RAMADHANI</t>
  </si>
  <si>
    <t>ELISA APRIANI</t>
  </si>
  <si>
    <t>DIMAS AJINURALAM</t>
  </si>
  <si>
    <t>BAROROTUL AKHFIYA</t>
  </si>
  <si>
    <t>ALLYTA RIZKIAH</t>
  </si>
  <si>
    <t>POPPY MARDIKA PERTIWI</t>
  </si>
  <si>
    <t>ZHIA UNNAHAR</t>
  </si>
  <si>
    <t>TANTI PRASIANTI</t>
  </si>
  <si>
    <t>WOEN JANUAR SUSANTO</t>
  </si>
  <si>
    <t>RATNA PERWIRANI</t>
  </si>
  <si>
    <t>HERIBERTUS KRISWORO</t>
  </si>
  <si>
    <t>DEWI ARYANI</t>
  </si>
  <si>
    <t>FADIANA</t>
  </si>
  <si>
    <t>VERONICA DWI PUSPA RATIH</t>
  </si>
  <si>
    <t>DWI PRAPTIWI</t>
  </si>
  <si>
    <t>IGNATIUS PATMONO ADI</t>
  </si>
  <si>
    <t>ASTER VIRGARINI BARAT</t>
  </si>
  <si>
    <t>YULARTI WULANDARI</t>
  </si>
  <si>
    <t>MULYADI</t>
  </si>
  <si>
    <t>SITI ALFIAH</t>
  </si>
  <si>
    <t>RINA JULIANA</t>
  </si>
  <si>
    <t>SUPANDI</t>
  </si>
  <si>
    <t>BEBY APRILIANA</t>
  </si>
  <si>
    <t>DEASY ERY SUSANTI</t>
  </si>
  <si>
    <t>TINI WINARSIH</t>
  </si>
  <si>
    <t>MARMI LESTARI</t>
  </si>
  <si>
    <t>DANIL ISKANDAR</t>
  </si>
  <si>
    <t>MAURINUS CATUR RUS SETYANTO</t>
  </si>
  <si>
    <t>ANA PUJIASTUTI</t>
  </si>
  <si>
    <t>NURHASANAH</t>
  </si>
  <si>
    <t>RESTY WIDOWATI</t>
  </si>
  <si>
    <t>SOFFY PATWITA</t>
  </si>
  <si>
    <t>TANTI RAHMALIA</t>
  </si>
  <si>
    <t>NURJANAH</t>
  </si>
  <si>
    <t>FR NINIK INDRATI</t>
  </si>
  <si>
    <t>ETTY SETIAWATI</t>
  </si>
  <si>
    <t>FITRI ARYATI</t>
  </si>
  <si>
    <t>MARIA MARGARETHA ROOS</t>
  </si>
  <si>
    <t>TRI HENI HENDARSIH</t>
  </si>
  <si>
    <t>SUMARTINI</t>
  </si>
  <si>
    <t>ONNY MARIANA</t>
  </si>
  <si>
    <t>COSMAS SUHARTO</t>
  </si>
  <si>
    <t>FRIENDY LEONARD TAMPUBOLON</t>
  </si>
  <si>
    <t>JEANNETTE G DE FRETES</t>
  </si>
  <si>
    <t>HARNI ASIH</t>
  </si>
  <si>
    <t>MAYLISA ISWANTY S</t>
  </si>
  <si>
    <t>LERININGSIH</t>
  </si>
  <si>
    <t>ARLINAH</t>
  </si>
  <si>
    <t>IWAN SANTOSO</t>
  </si>
  <si>
    <t>HERAWATI</t>
  </si>
  <si>
    <t>ASMAYU TETTY</t>
  </si>
  <si>
    <t>CHRISTOPHORA DESY YOHANDARI</t>
  </si>
  <si>
    <t>BERNADETTA DANA CHRISTINE</t>
  </si>
  <si>
    <t>DEWI PERMANASARI</t>
  </si>
  <si>
    <t>SERRA CHIEFFRIYANTI</t>
  </si>
  <si>
    <t>ANDREAS CAHYO ARTANTO</t>
  </si>
  <si>
    <t>DESI ROSMALINA</t>
  </si>
  <si>
    <t>AFRIYANTHI</t>
  </si>
  <si>
    <t>KARLINA RAHAYU</t>
  </si>
  <si>
    <t>ANNA MAYANGSARI</t>
  </si>
  <si>
    <t>SARI MARSELINA</t>
  </si>
  <si>
    <t>TRI WIDHAYANTI</t>
  </si>
  <si>
    <t>SURANTO</t>
  </si>
  <si>
    <t>MUHAMMAD RAFI ABIMANYU</t>
  </si>
  <si>
    <t>IGNATIUS WISANG PUDA WIJAYA</t>
  </si>
  <si>
    <t>EDGAR GILANG SADEWO</t>
  </si>
  <si>
    <t>CHRISTANTO BILLY</t>
  </si>
  <si>
    <t>LIA INDRIYANI</t>
  </si>
  <si>
    <t>VALENTINA EKO WARDHANI</t>
  </si>
  <si>
    <t>STEFFI LESTARI</t>
  </si>
  <si>
    <t>SAMUEL BUDI KRISNAWAN</t>
  </si>
  <si>
    <t>KARINA IRENE PURNAMASARI</t>
  </si>
  <si>
    <t>BERNADETA DWI HAPSARI</t>
  </si>
  <si>
    <t>ARLEN ELVIDE ARIYANTO SUDI</t>
  </si>
  <si>
    <t>STEFANUS HARTONO</t>
  </si>
  <si>
    <t>ANDRIANUS SINUHAJI</t>
  </si>
  <si>
    <t>LIA AMALIA</t>
  </si>
  <si>
    <t>WYNNE MARGARETHA HERMAN</t>
  </si>
  <si>
    <t>SUPRIHWIHONO SETYABUDI</t>
  </si>
  <si>
    <t>AGNES SUPRAPRI PENNI BEAN</t>
  </si>
  <si>
    <t>NINA KURNIASARI</t>
  </si>
  <si>
    <t>DINA ASVITA P</t>
  </si>
  <si>
    <t>FERI SEPTIAWAN</t>
  </si>
  <si>
    <t>IKRAR DIKARA KHALBI</t>
  </si>
  <si>
    <t>CAECILIA ROSA PERMATASARI</t>
  </si>
  <si>
    <t>ELISABETH DIAN SELVITA</t>
  </si>
  <si>
    <t>LYDIA ELSA SINTA</t>
  </si>
  <si>
    <t>YOSAPHAT NOVEMBRIARTO</t>
  </si>
  <si>
    <t>RUMAYA IRMAULI R SIAGIAN</t>
  </si>
  <si>
    <t>KLAUDIUS HANI MANGAGO</t>
  </si>
  <si>
    <t>ADELINE JUANITA DJUWANTO</t>
  </si>
  <si>
    <t>NIVEA GALUH ISWARIN</t>
  </si>
  <si>
    <t>WIDYAN ZHAFIRI</t>
  </si>
  <si>
    <t>AFRIZAL DZIKRILLAH</t>
  </si>
  <si>
    <t>ARVIN M YAFIZ</t>
  </si>
  <si>
    <t>RAFI RIZKIANO</t>
  </si>
  <si>
    <t>YUDHA KUSDIANTARA PUTRA</t>
  </si>
  <si>
    <t>ALIF SUMANTRI</t>
  </si>
  <si>
    <t>TENGKU MUHAMMAD HAFIDZ AZHAR</t>
  </si>
  <si>
    <t>RAMADIO AKBAR SAPUTRA</t>
  </si>
  <si>
    <t>VERONIKA PETRAYUL LARASATI LENORE</t>
  </si>
  <si>
    <t>RIZAL ANDI PRATAMA</t>
  </si>
  <si>
    <t>OKTAVIANUS BARUS</t>
  </si>
  <si>
    <t>SALMA SHOFIYYA PRATOMO</t>
  </si>
  <si>
    <t>WILFRED MARVEL ZOE THEDRICK</t>
  </si>
  <si>
    <t>MUHAMMAD APRIYANTO</t>
  </si>
  <si>
    <t>FERNELIA NANDA TIRTA AVILIANA</t>
  </si>
  <si>
    <t>FARISAH GHAISANI</t>
  </si>
  <si>
    <t>RAFAEL RAGA BUDI PANUNTUN</t>
  </si>
  <si>
    <t>MUHAMMAD FARID AL RAIS</t>
  </si>
  <si>
    <t>SHAFA AZZAHRA KUSUMAH PUTRI</t>
  </si>
  <si>
    <t>MUHAMMAD DZAKY ADZHANY</t>
  </si>
  <si>
    <t>MENTARI MAIMUNAH LUBIS</t>
  </si>
  <si>
    <t>RAISSA AULIA SALSABILA</t>
  </si>
  <si>
    <t>LIFA MUALIFA NURFADILAH</t>
  </si>
  <si>
    <t>ATINDRIYA AYU PRADIPTA</t>
  </si>
  <si>
    <t>C TINI PRATIWI</t>
  </si>
  <si>
    <t>NURMALIA</t>
  </si>
  <si>
    <t>LUCIA TITIES BUDIMARHENI</t>
  </si>
  <si>
    <t>NOVI PRATIWI</t>
  </si>
  <si>
    <t>MUHAMMAD KHAIDIR DETAMALO</t>
  </si>
  <si>
    <t>ERIK RENALDO</t>
  </si>
  <si>
    <t>MARIA OKTRIFYANI PERMATA HATI</t>
  </si>
  <si>
    <t>JANICE PATRICIA HAMDANI</t>
  </si>
  <si>
    <t>SUHADI</t>
  </si>
  <si>
    <t>IWAN SETIADI</t>
  </si>
  <si>
    <t>FRANSISCA MEILY</t>
  </si>
  <si>
    <t>BAMBANG MIHARYONO</t>
  </si>
  <si>
    <t>IRENE YUDIATI FARMULIYASIH</t>
  </si>
  <si>
    <t>R KRISNA WARDHANA</t>
  </si>
  <si>
    <t>AFRIANI RAKHMAWATI YULIADI</t>
  </si>
  <si>
    <t>YOLA PUTRYANIE S</t>
  </si>
  <si>
    <t>SUNARDI</t>
  </si>
  <si>
    <t>ARNOLDUS YANSEN</t>
  </si>
  <si>
    <t>KLEMEN ADONIA BAOK</t>
  </si>
  <si>
    <t>EKO YOGA SAPUTRA</t>
  </si>
  <si>
    <t>RIDHATULLAH RAMADHAN</t>
  </si>
  <si>
    <t>LINTAR ALWANDA</t>
  </si>
  <si>
    <t>MUHAMMAD WILDAN FATHUROHMAN</t>
  </si>
  <si>
    <t>RAISYA MAYLIA  AHDA</t>
  </si>
  <si>
    <t>AL KAHFI MANDALA  PUTRA</t>
  </si>
  <si>
    <t>ADITYA PRATAMA</t>
  </si>
  <si>
    <t>FALIA SHOFA AYU CHATISA</t>
  </si>
  <si>
    <t>NAILA FADHILAH</t>
  </si>
  <si>
    <t>SALWA AZZAHRA</t>
  </si>
  <si>
    <t>LUVI PUTRI APRIYANTI</t>
  </si>
  <si>
    <t>ALYA SALSABILA</t>
  </si>
  <si>
    <t>ADRIL DEFANDA HAERUDIN</t>
  </si>
  <si>
    <t>MUHAMAD GILANG RAMADHAN</t>
  </si>
  <si>
    <t>NADILLATUL FADILAH</t>
  </si>
  <si>
    <t>IKSAN MAULANA</t>
  </si>
  <si>
    <t>KHAIRUN PRADISTIA ANGGRAINI</t>
  </si>
  <si>
    <t>MUHAMMAD ALFI PRADIPTA HIDAYAT</t>
  </si>
  <si>
    <t>SANDY ALFIAN</t>
  </si>
  <si>
    <t>FAJRI AFRIANSYAH</t>
  </si>
  <si>
    <t>REISA NUR AMALIA WIDYANTI</t>
  </si>
  <si>
    <t>PAULUS TYANIKO VALENT</t>
  </si>
  <si>
    <t>YULIAWATI LUMENTUT</t>
  </si>
  <si>
    <t>R WAHYU ERMAWATI</t>
  </si>
  <si>
    <t>SRI SETYOWATI</t>
  </si>
  <si>
    <t>SUKADI</t>
  </si>
  <si>
    <t>SUMARDI</t>
  </si>
  <si>
    <t>EKKI INDRAWAN</t>
  </si>
  <si>
    <t>MUHAMAD JARKASIH</t>
  </si>
  <si>
    <t>ANGESTI LINTANG PRISTIRA</t>
  </si>
  <si>
    <t>BAYU MURDANTYO</t>
  </si>
  <si>
    <t>MUHAMAD NAZWAN HAFIZ</t>
  </si>
  <si>
    <t>ANDINI SAPUTRI</t>
  </si>
  <si>
    <t>ARYA NURFI HIDAYAT</t>
  </si>
  <si>
    <t>SYIFA AULIA</t>
  </si>
  <si>
    <t>MUHAMMAD SHEVA ERLANGGA</t>
  </si>
  <si>
    <t>MUHAMMAD RAADHII IHSAAN TANJUNG</t>
  </si>
  <si>
    <t>SABDA ALAM PRATAMA</t>
  </si>
  <si>
    <t>MUHAMMAD RAFLI</t>
  </si>
  <si>
    <t>ADIDAH ASTRI AWALYAH</t>
  </si>
  <si>
    <t>MUHAMMAD RAFLI SAPUTRA</t>
  </si>
  <si>
    <t>ARDIA RIDO HUTAMA</t>
  </si>
  <si>
    <t>JAYA RIKSA</t>
  </si>
  <si>
    <t>AMANDA AMELYANA</t>
  </si>
  <si>
    <t>ANISA NOPIANI IMRAN</t>
  </si>
  <si>
    <t>MUHAMMAD RIZKU AZRIL</t>
  </si>
  <si>
    <t>INTAN CRISTABELLA SIMATUPANG</t>
  </si>
  <si>
    <t>ALUYSIA DWI MEYLANDANI</t>
  </si>
  <si>
    <t>HENDRO PRANOTO</t>
  </si>
  <si>
    <t>AJI KURNIAWAN GANDA</t>
  </si>
  <si>
    <t>R NADYA SYAHIRA ANASYA</t>
  </si>
  <si>
    <t>ANDIKA SAEFUL NAZAR</t>
  </si>
  <si>
    <t>NABILA NADIA ERNAS</t>
  </si>
  <si>
    <t>MUHAMMAD AMIN</t>
  </si>
  <si>
    <t>ISELA ANJANI PUTRI</t>
  </si>
  <si>
    <t>RENALDI SETIAWARMAN</t>
  </si>
  <si>
    <t>ADINDA ZAHRA</t>
  </si>
  <si>
    <t>JAUZA AKRAM RIZKILLA</t>
  </si>
  <si>
    <t>GEBY ELIZABETH GULTOM</t>
  </si>
  <si>
    <t>MOH GIBRAN AL FARIZ</t>
  </si>
  <si>
    <t>RESTI SUCI FAIDAH</t>
  </si>
  <si>
    <t>PANJI EKO MUSTAJABAH</t>
  </si>
  <si>
    <t>RIZKY PUTRA JAYA</t>
  </si>
  <si>
    <t>YOSEP CHANDRA</t>
  </si>
  <si>
    <t>SITI NURDIANA</t>
  </si>
  <si>
    <t>KINANTI SWASTIKA</t>
  </si>
  <si>
    <t>KEYSHA NAILA BISYIR</t>
  </si>
  <si>
    <t>ZAHRA AGISKI</t>
  </si>
  <si>
    <t>DJARO PRIHATMOJO TANOTO</t>
  </si>
  <si>
    <t>FITRI NURHINAYAH</t>
  </si>
  <si>
    <t>NADIA SYAVIRA</t>
  </si>
  <si>
    <t>JERICHO JHONATAN SITUMORANG</t>
  </si>
  <si>
    <t>JUNEDI</t>
  </si>
  <si>
    <t>ARDIANSYAH</t>
  </si>
  <si>
    <t>SRI WIDODO</t>
  </si>
  <si>
    <t>SRI HIDAYATI</t>
  </si>
  <si>
    <t>JUMALI</t>
  </si>
  <si>
    <t>ANNA MEGAWATI TAMPUBOLON</t>
  </si>
  <si>
    <t>OMI HERNITA</t>
  </si>
  <si>
    <t>JOANNES CHRYSOSTOMUS WAHYU KRISMANTO</t>
  </si>
  <si>
    <t>JIHAN MAULIDAH SYAKIRA</t>
  </si>
  <si>
    <t>JAVIER NUN FAWWAZ</t>
  </si>
  <si>
    <t>WILDAN CAHYA PUTRA DHEWA</t>
  </si>
  <si>
    <t>REVAN FAJAR SAPUTRA</t>
  </si>
  <si>
    <t>ZAENAL MUTAKIN</t>
  </si>
  <si>
    <t>ALVIN FADILAH TASTI</t>
  </si>
  <si>
    <t>MUTIARA WULANDARI</t>
  </si>
  <si>
    <t>SATRIA ALAMSYAH</t>
  </si>
  <si>
    <t>SUMARNA</t>
  </si>
  <si>
    <t>SAMUEL KRISNA SURYA HANGGARA</t>
  </si>
  <si>
    <t>ELISABETH SRI HARTINI</t>
  </si>
  <si>
    <t>ANUGRAH NURDIANTO</t>
  </si>
  <si>
    <t>BUDI RANI SUPRIHATI</t>
  </si>
  <si>
    <t>SLAMET</t>
  </si>
  <si>
    <t>YOLANDA GRESSITA</t>
  </si>
  <si>
    <t>SABRINA NUR FITRI</t>
  </si>
  <si>
    <t>CAMILLA NASTITI</t>
  </si>
  <si>
    <t>MUTIARINI</t>
  </si>
  <si>
    <t>ARIEF MAULANA</t>
  </si>
  <si>
    <t>DIAH AYU PUJI LESTARI</t>
  </si>
  <si>
    <t>AHMAD PARHAN IRHAM</t>
  </si>
  <si>
    <t>TINSI AYU WARDANI</t>
  </si>
  <si>
    <t>SAMUEL BHIMA SALIARTA</t>
  </si>
  <si>
    <t>ZEFANYA LINTANG LITANI</t>
  </si>
  <si>
    <t>HINDRY GUNAWAN</t>
  </si>
  <si>
    <t>DADANG SUKANDAR</t>
  </si>
  <si>
    <t>YUSTANTO MUSROBY</t>
  </si>
  <si>
    <t>PAULUS KRISTIADI</t>
  </si>
  <si>
    <t>YUSWENDAR ARLI</t>
  </si>
  <si>
    <t>PUTRI ASYIFA ZAHRA</t>
  </si>
  <si>
    <t>REHAN SAPUTRA</t>
  </si>
  <si>
    <t>UTAMI PUTRI SARWINSI</t>
  </si>
  <si>
    <t>MUHAMMAD ARVIANDI HAKIM</t>
  </si>
  <si>
    <t>NAUFAL KANZ HIDAYAT</t>
  </si>
  <si>
    <t>SOPI OKTAVIANI</t>
  </si>
  <si>
    <t>MUHAMMAD IRFAN MAULANA</t>
  </si>
  <si>
    <t>AL HANI FAUZAN</t>
  </si>
  <si>
    <t>ARIYO SAPUTRO</t>
  </si>
  <si>
    <t>PUTRI APRILIANI</t>
  </si>
  <si>
    <t>TERESIA VANESA ZOVANELA SARI</t>
  </si>
  <si>
    <t>AHMAD NURZAMAN</t>
  </si>
  <si>
    <t>ARIANA PUTRI DAMAYANTI</t>
  </si>
  <si>
    <t>ROBERTO GALLANT NARENDRA</t>
  </si>
  <si>
    <t>LEGIMIN</t>
  </si>
  <si>
    <t>ENDANG RETNO WATI</t>
  </si>
  <si>
    <t>DIANA WURIHANDAYANI</t>
  </si>
  <si>
    <t>TRI MARGANINGSIH</t>
  </si>
  <si>
    <t>LUQMAN HAKIM</t>
  </si>
  <si>
    <t>IDA LISDA</t>
  </si>
  <si>
    <t>SUHAR DHARMA WANTORO</t>
  </si>
  <si>
    <t>TRIMAN</t>
  </si>
  <si>
    <t>MARTINUS ANDHI YULIANTO</t>
  </si>
  <si>
    <t>MOCHAMAD RAFLI IDRIS</t>
  </si>
  <si>
    <t>NADHIA CHELSEA ALIA PUTRI</t>
  </si>
  <si>
    <t>RAYAMAN OLOAN PANJAITAN</t>
  </si>
  <si>
    <t>RAYHAN SATRIA RAMADHAN</t>
  </si>
  <si>
    <t>ARDA NOVRIZAL HAQ</t>
  </si>
  <si>
    <t>DITYA RAHMA JUWITA</t>
  </si>
  <si>
    <t>REVAL PUTRA RAMAWANDA</t>
  </si>
  <si>
    <t>JONATHAN PANDU</t>
  </si>
  <si>
    <t>BAGAS JANI SABEKTI</t>
  </si>
  <si>
    <t>WIWIN INDAH SARI</t>
  </si>
  <si>
    <t>KHOIRUNNISA HAINUNAH</t>
  </si>
  <si>
    <t>AISYAH ADITRIA PRASETYONO</t>
  </si>
  <si>
    <t>ABDUL AZIZ FUADY</t>
  </si>
  <si>
    <t>DIVANADIA PUTI ANDINI</t>
  </si>
  <si>
    <t>MUHAMMAD FACHRI ALAMSYAH</t>
  </si>
  <si>
    <t>NATRIA OKTAFIANI</t>
  </si>
  <si>
    <t>SYAFIQ FADHIL YUSUF</t>
  </si>
  <si>
    <t>DIMAS ASTRAPRAJA</t>
  </si>
  <si>
    <t>KARMIANTO</t>
  </si>
  <si>
    <t>HIDAYAT</t>
  </si>
  <si>
    <t>WIDYA KURNIA</t>
  </si>
  <si>
    <t>MUHAMMAD SAOGI</t>
  </si>
  <si>
    <t>SUHARMAN</t>
  </si>
  <si>
    <t>NANA TERLAKSANA</t>
  </si>
  <si>
    <t>MAYA SALAMI</t>
  </si>
  <si>
    <t>MUHAMAD MASTONI</t>
  </si>
  <si>
    <t>USMAN</t>
  </si>
  <si>
    <t>MARSEDANIUS SAMPE</t>
  </si>
  <si>
    <t>NARULI KURNIA ISMAWAN</t>
  </si>
  <si>
    <t>LILIS SOLIHAT</t>
  </si>
  <si>
    <t>SITI NURJANNAH</t>
  </si>
  <si>
    <t>TRI SANTOSO</t>
  </si>
  <si>
    <t>YOSI NOVIANTO</t>
  </si>
  <si>
    <t>IDA LESTARI NAINGGOLAN</t>
  </si>
  <si>
    <t>SITI NUR FADILA</t>
  </si>
  <si>
    <t>M SABDA NURAIDIN RAMADAN</t>
  </si>
  <si>
    <t>NAFTA DWI RAMADHANY</t>
  </si>
  <si>
    <t>PUTRI DWI WAHYUNI</t>
  </si>
  <si>
    <t>ARYA ANDRIANSYAH</t>
  </si>
  <si>
    <t>ARRUM DIENI KHOLISAH</t>
  </si>
  <si>
    <t>MALVA ORIEZA KHANIFA</t>
  </si>
  <si>
    <t>MUHAMMAD INDRA DARMAWAN</t>
  </si>
  <si>
    <t>SALWA SAVIRA</t>
  </si>
  <si>
    <t>SYELVIRA BUNGA CHANIAGO</t>
  </si>
  <si>
    <t>FATWA DAMAYANTI</t>
  </si>
  <si>
    <t>MUHAMMAD REZA REZKIA</t>
  </si>
  <si>
    <t>PUTRI DINDA AULIYA</t>
  </si>
  <si>
    <t>AMELIA HERDWI LESTUTI</t>
  </si>
  <si>
    <t>AINUR HAKIM</t>
  </si>
  <si>
    <t>ARSYLLA NISRINA SALSYABILLA</t>
  </si>
  <si>
    <t>STEVEN GILBERT HALIWELA</t>
  </si>
  <si>
    <t>YEREMIA IMMANUEL CHRISTIAN</t>
  </si>
  <si>
    <t>GALIH AL FARISI</t>
  </si>
  <si>
    <t>TYOLANA DESTA WULANDARI</t>
  </si>
  <si>
    <t>I MADE WIRIANTARA</t>
  </si>
  <si>
    <t>KEYSHA MARDATILA</t>
  </si>
  <si>
    <t>MUH ASLAM JAYA</t>
  </si>
  <si>
    <t>ELSI ORMAYEN KMUR</t>
  </si>
  <si>
    <t>NATASYA INJILI MATINDAS</t>
  </si>
  <si>
    <t>PRISKILA MELANI FAIDIBAN</t>
  </si>
  <si>
    <t>HERMIN USMANY</t>
  </si>
  <si>
    <t>NUR FAIZAH PELU</t>
  </si>
  <si>
    <t>ANASTASYA YOHANA MAYOR</t>
  </si>
  <si>
    <t>ERWIN</t>
  </si>
  <si>
    <t>HARIS</t>
  </si>
  <si>
    <t>SANDI CAHYA PRADANA</t>
  </si>
  <si>
    <t>LAURA MENTARI</t>
  </si>
  <si>
    <t>ALVA CLAUDYA DWAA</t>
  </si>
  <si>
    <t>HAFIL HAIRUL</t>
  </si>
  <si>
    <t>BAGUS TRI BSKORO</t>
  </si>
  <si>
    <t>JANUARDY YOGA PRATAMA</t>
  </si>
  <si>
    <t>LAILA RAMADANNI</t>
  </si>
  <si>
    <t>MUHAMMAD SAHRUL RIZAL</t>
  </si>
  <si>
    <t>HAARUL</t>
  </si>
  <si>
    <t>RIANDI MISAEL PESSAK</t>
  </si>
  <si>
    <t>FRANSISKUS XAVERIUS RUBEDO</t>
  </si>
  <si>
    <t>DADAN SUJONO</t>
  </si>
  <si>
    <t>NONINCE MERANI</t>
  </si>
  <si>
    <t>YOSUA SOMNAIKUBUN</t>
  </si>
  <si>
    <t>ASNIDAR</t>
  </si>
  <si>
    <t>MEINY WINRI</t>
  </si>
  <si>
    <t>DANIELLA JENNICA GRACYLIA HUTAPEA</t>
  </si>
  <si>
    <t>ANGIELIQUE LAHIA</t>
  </si>
  <si>
    <t>FERONIKA SISILIA MANSOBEN</t>
  </si>
  <si>
    <t>ANGELA YUNITA LURUK KLAU</t>
  </si>
  <si>
    <t>MASNI</t>
  </si>
  <si>
    <t>SAIKAL</t>
  </si>
  <si>
    <t>JAIS JUSIDAR</t>
  </si>
  <si>
    <t>MUHAMAD TOLI</t>
  </si>
  <si>
    <t>ANUGRAH</t>
  </si>
  <si>
    <t>LA ODE MUHAMMAD ILHAM SETIAWAN</t>
  </si>
  <si>
    <t>AMANDA APRIANI</t>
  </si>
  <si>
    <t>ARDIAN S</t>
  </si>
  <si>
    <t>RUDY BARTIN AFRIAN</t>
  </si>
  <si>
    <t>IRVAN FADLY</t>
  </si>
  <si>
    <t>WAODE NELI SULISTIAWATI</t>
  </si>
  <si>
    <t>NENING SUARNI HATMI</t>
  </si>
  <si>
    <t>EFIANA NINGSIH</t>
  </si>
  <si>
    <t>WAYAN INDRA SAPUTRA</t>
  </si>
  <si>
    <t>M ARI AL FARIZ</t>
  </si>
  <si>
    <t>ANNISA CLAUDIA RAHMAN</t>
  </si>
  <si>
    <t>YESUA HIRANG</t>
  </si>
  <si>
    <t>PASTIMAN TAFUAKAN</t>
  </si>
  <si>
    <t>ELSA SETIANA</t>
  </si>
  <si>
    <t>JAHUDA UNTUNG DOEMA</t>
  </si>
  <si>
    <t>FLORENCE ROSALIN POYCK BAKO</t>
  </si>
  <si>
    <t>YONA ANNEKE REMELIA HATTU</t>
  </si>
  <si>
    <t>MATHEOS MBEO</t>
  </si>
  <si>
    <t>DOMINIKUS LEO WIDIARTO</t>
  </si>
  <si>
    <t>IMELDA MARIA DEDE TENA</t>
  </si>
  <si>
    <t>ADRIANUS ARISTON KOTA</t>
  </si>
  <si>
    <t>FERDERIKA ESTER SAE</t>
  </si>
  <si>
    <t>GUSTAFO AUGUSTINO BAPTISTA SUBAN</t>
  </si>
  <si>
    <t>JUNIOR SABA KULA</t>
  </si>
  <si>
    <t>ANGGERENI SUSANA BILI</t>
  </si>
  <si>
    <t>ALICIA STEFANI</t>
  </si>
  <si>
    <t>AYYUP EFFENDIY</t>
  </si>
  <si>
    <t>ALDRIAN SYAHPUTRA</t>
  </si>
  <si>
    <t>NATASYA</t>
  </si>
  <si>
    <t>DIANA EKAWATI</t>
  </si>
  <si>
    <t>ZURAEDA</t>
  </si>
  <si>
    <t>DAMIANUS SAKIJAN</t>
  </si>
  <si>
    <t>ACEP SUGANDA</t>
  </si>
  <si>
    <t>GABRIELA JULIANTI</t>
  </si>
  <si>
    <t>REZA MUFLIH AKBAR HAKIM</t>
  </si>
  <si>
    <t>RIKARDUS WEO</t>
  </si>
  <si>
    <t>MARIANUS VICKY PITUN</t>
  </si>
  <si>
    <t>MARIA YUSTINA  ROSARI GATO</t>
  </si>
  <si>
    <t>MARIA NONA VENTURA</t>
  </si>
  <si>
    <t>BONAVENTURA JELUNDU</t>
  </si>
  <si>
    <t>YASINTA LIA ICE</t>
  </si>
  <si>
    <t>TONI ALBERTUS SINAGA</t>
  </si>
  <si>
    <t>THERESIA CLAUDIA SILVANA GATY</t>
  </si>
  <si>
    <t>MARKUS APRIANUS</t>
  </si>
  <si>
    <t>MICHAEL GIVEN GERARD TANGKILISAN</t>
  </si>
  <si>
    <t>HENDRA KURNIAWAN</t>
  </si>
  <si>
    <t>SOFYAN GOBEL</t>
  </si>
  <si>
    <t>IRAHWATI</t>
  </si>
  <si>
    <t>SYAMSIR</t>
  </si>
  <si>
    <t>AULIA NURFADILLA</t>
  </si>
  <si>
    <t>RIFKA ANISA</t>
  </si>
  <si>
    <t>ADITIA BINTANG</t>
  </si>
  <si>
    <t>PUTRI NURSHOLEHA</t>
  </si>
  <si>
    <t>YUNIARTI AKIB</t>
  </si>
  <si>
    <t>HERU NUHRIYANA</t>
  </si>
  <si>
    <t>MUHAMMAD HADI RAFIDIN</t>
  </si>
  <si>
    <t>WIRATNO</t>
  </si>
  <si>
    <t>RAHMAT PUJI RAHARJO</t>
  </si>
  <si>
    <t>METHA NURLITA SARI</t>
  </si>
  <si>
    <t>MUHAMAD RIDHO WAHYUDI</t>
  </si>
  <si>
    <t>VHE-ZHA LAKSAMANA HERLINA MARDEN SAM</t>
  </si>
  <si>
    <t>NAJAM AZHAR GALIH</t>
  </si>
  <si>
    <t>AULIA FIRA DAYANTI</t>
  </si>
  <si>
    <t>ALDIYANSYAH</t>
  </si>
  <si>
    <t>PANCA ADRIANSYAH WIBIKSANA</t>
  </si>
  <si>
    <t>VABIANA LENITJE PAREIRA</t>
  </si>
  <si>
    <t>KARNADI</t>
  </si>
  <si>
    <t>EMANUEL LARAS HUSODO</t>
  </si>
  <si>
    <t>RATNANINGSIH</t>
  </si>
  <si>
    <t>ERI DARMAWAN</t>
  </si>
  <si>
    <t>RATIH SOFIA KATUNANDYAR</t>
  </si>
  <si>
    <t>ARGA ZAVIER RACHMAN</t>
  </si>
  <si>
    <t>ROBBY GRAIENT DAMANIK</t>
  </si>
  <si>
    <t>MOHAMMAD IRHAM BAGUS WIRAWAN</t>
  </si>
  <si>
    <t>MUHAMMAD NAUFAL ADITYA</t>
  </si>
  <si>
    <t>SHIFA KUSUMA ARUM</t>
  </si>
  <si>
    <t>CAROLINA MUTIARA OKTAVIA SIMANJUNTAK</t>
  </si>
  <si>
    <t>FELICHA RISWANDA</t>
  </si>
  <si>
    <t>FRANSISKUS MARIO ANINDITO</t>
  </si>
  <si>
    <t>SRI NURYATININGSIH</t>
  </si>
  <si>
    <t>WASILAH</t>
  </si>
  <si>
    <t>ROY SISBATIAR</t>
  </si>
  <si>
    <t>SRI HARYATI</t>
  </si>
  <si>
    <t>SIRYANTO</t>
  </si>
  <si>
    <t>DYAH PURWANTI</t>
  </si>
  <si>
    <t>FRIDA THERESIA</t>
  </si>
  <si>
    <t>ANWAS CAHYADIN</t>
  </si>
  <si>
    <t>LULUK DEKIYANTO</t>
  </si>
  <si>
    <t>SETYAWAN</t>
  </si>
  <si>
    <t>DESTA PUTRA PRATAMA</t>
  </si>
  <si>
    <t>KRIS AMON FIRDAUS LAURENSIUS</t>
  </si>
  <si>
    <t>SANDY HADI SAPUTRA</t>
  </si>
  <si>
    <t>HELENA VERONICA SURATRATAN</t>
  </si>
  <si>
    <t>PANCA ANUGRAH NOVI RAGIL PRAMESWARI MAHENDRA PUTRI</t>
  </si>
  <si>
    <t>ANGELA MERICI SINAGA</t>
  </si>
  <si>
    <t>RUSMAN ALIF</t>
  </si>
  <si>
    <t>FELOMENA RIA SAORES PARDEDE</t>
  </si>
  <si>
    <t>ASVIN LESTARI YEKWAM</t>
  </si>
  <si>
    <t>BIANDHIKA HUMAIRO NUR AZURA SIA</t>
  </si>
  <si>
    <t>REGINA NAYLA PUTRI</t>
  </si>
  <si>
    <t>DIMAS DWI RIZKA NS</t>
  </si>
  <si>
    <t>RAYHAN AZKIA</t>
  </si>
  <si>
    <t>DEDIN JUNAEDIN</t>
  </si>
  <si>
    <t>YOANNES JATMIKO</t>
  </si>
  <si>
    <t>MAULANA SIDIK</t>
  </si>
  <si>
    <t>M ADITYA NUR RAHMAN</t>
  </si>
  <si>
    <t>GITA GUNAWAN</t>
  </si>
  <si>
    <t>TAUPIK</t>
  </si>
  <si>
    <t>BELLA SEPTIAN</t>
  </si>
  <si>
    <t>SURYATI</t>
  </si>
  <si>
    <t>BUNGA PAMILO SUNARDI</t>
  </si>
  <si>
    <t>HERLYNN CHANG</t>
  </si>
  <si>
    <t>MOHAMMAD DAFFA RIZQULLOH</t>
  </si>
  <si>
    <t>RAFLI TRIO ZULFIQIH</t>
  </si>
  <si>
    <t>TITI KARTIKA</t>
  </si>
  <si>
    <t>ADISTIA OPTOPIANI</t>
  </si>
  <si>
    <t>NICHOLAS DAVIN KUSUMA</t>
  </si>
  <si>
    <t>AYU INDAH MAULIDINI</t>
  </si>
  <si>
    <t>PUTRI RAHMAWATI</t>
  </si>
  <si>
    <t>THEODORA ADINDA DELANAIRA</t>
  </si>
  <si>
    <t>MUHLISIN ALATAS</t>
  </si>
  <si>
    <t>RULY ANGGARA</t>
  </si>
  <si>
    <t>NABIL MUHAMMAD RIZKI</t>
  </si>
  <si>
    <t>FITRIA DESMA YUNITA SARI</t>
  </si>
  <si>
    <t>SATRIAWAN</t>
  </si>
  <si>
    <t>MEGA TJAHYANTI</t>
  </si>
  <si>
    <t>ERY ARFAHYANTI</t>
  </si>
  <si>
    <t>FRANSISKA</t>
  </si>
  <si>
    <t>APRITA WATI</t>
  </si>
  <si>
    <t>AGUS TRIYANTO</t>
  </si>
  <si>
    <t>NALURI IMAYANTI</t>
  </si>
  <si>
    <t>BAIHAKI</t>
  </si>
  <si>
    <t>LERIO JOHANES</t>
  </si>
  <si>
    <t>NAZWA KHOIRUNNISA AMIN</t>
  </si>
  <si>
    <t>HERDI SATRIA WIBAWA</t>
  </si>
  <si>
    <t>LILIS KARLINA</t>
  </si>
  <si>
    <t>MUTIARA EKA PUTRI</t>
  </si>
  <si>
    <t>ERLANGGI SEPTIAN PRAMUJA</t>
  </si>
  <si>
    <t>MUHAMMAD ZIDAN ADIFIRMANSYAH</t>
  </si>
  <si>
    <t>MELODIA SITOMPUL</t>
  </si>
  <si>
    <t>MUHAMMAD ARIF DJAZULI</t>
  </si>
  <si>
    <t>SUCI</t>
  </si>
  <si>
    <t>ALVAREZ PRATAMA RIYADI</t>
  </si>
  <si>
    <t>JAEMASNAH</t>
  </si>
  <si>
    <t>JUMARNO</t>
  </si>
  <si>
    <t>NOVALINDA</t>
  </si>
  <si>
    <t>ANGGA ERLANGGA</t>
  </si>
  <si>
    <t>THERESIA DEWY RATNASARI</t>
  </si>
  <si>
    <t>SUHERI</t>
  </si>
  <si>
    <t>PRATIWI HANDAYANI</t>
  </si>
  <si>
    <t>ALIF NUGRAHA SETIADY</t>
  </si>
  <si>
    <t>MUHAMAD ILHAM</t>
  </si>
  <si>
    <t>YOPI ISKANDAR NURULLOH</t>
  </si>
  <si>
    <t>HABIBBUR RAHMAN</t>
  </si>
  <si>
    <t>NIKHOLAS</t>
  </si>
  <si>
    <t>MUHAMMAD RIFFAN HADANIYALA</t>
  </si>
  <si>
    <t>MAHESA VABIAN SANDI</t>
  </si>
  <si>
    <t>MUHAMMAD ROFIQ REGNO</t>
  </si>
  <si>
    <t>ANANDARI ALFATIANA</t>
  </si>
  <si>
    <t>DEVARA SHAFA NABILA</t>
  </si>
  <si>
    <t>MUHAMMAD FARID</t>
  </si>
  <si>
    <t>DAVINA CINTYA FERLIANTI</t>
  </si>
  <si>
    <t>REZZA ROSELLITA</t>
  </si>
  <si>
    <t>MUHAMMAD IZHAR ZAULA</t>
  </si>
  <si>
    <t>NIKEN EKA PUSPITASARI</t>
  </si>
  <si>
    <t>RAISKANDAR</t>
  </si>
  <si>
    <t>SUYOTO</t>
  </si>
  <si>
    <t>MARIA WIWIK ERYATI</t>
  </si>
  <si>
    <t>BEATRICE JASANDDES A</t>
  </si>
  <si>
    <t>ARYUDI ADHA</t>
  </si>
  <si>
    <t>LISDIANA FADILA</t>
  </si>
  <si>
    <t>NAZWA ANDANI</t>
  </si>
  <si>
    <t>RADINKA PUTRI DIZI AURA</t>
  </si>
  <si>
    <t>NAYSILLA ADELIA PUTRI</t>
  </si>
  <si>
    <t>RAFLY ANUGERAH</t>
  </si>
  <si>
    <t>ARSYAD RAHMAN HAKIM</t>
  </si>
  <si>
    <t>NESYA PRATAMEVIA</t>
  </si>
  <si>
    <t>ELSHINTA GITA NURAINI</t>
  </si>
  <si>
    <t>VANIA AGRESIA</t>
  </si>
  <si>
    <t>MUH ALFIAN AL HALIQ</t>
  </si>
  <si>
    <t>NURUL AZISAH KAMIL</t>
  </si>
  <si>
    <t>HEZKIA MARCELLINO D</t>
  </si>
  <si>
    <t>MUH SABRI AL MUNAWARAH</t>
  </si>
  <si>
    <t>MUHAMMAD ANUGRAH HENDRO</t>
  </si>
  <si>
    <t>NABILA ADNAN</t>
  </si>
  <si>
    <t>NURUL RIZKI AMALIA</t>
  </si>
  <si>
    <t>BAKRI</t>
  </si>
  <si>
    <t>MUH.YAHYA</t>
  </si>
  <si>
    <t>YUDA YASRAH ARAFAT</t>
  </si>
  <si>
    <t>AGUS SAHPUTRA</t>
  </si>
  <si>
    <t>TIARA</t>
  </si>
  <si>
    <t>MUHAMMAD ABIL</t>
  </si>
  <si>
    <t>ARSETY FATIRA</t>
  </si>
  <si>
    <t>PUTRI DYANA</t>
  </si>
  <si>
    <t>M ILHAM SHAFAR</t>
  </si>
  <si>
    <t>KHAERUN NIDA</t>
  </si>
  <si>
    <t>AMIN SYAM</t>
  </si>
  <si>
    <t>AYU SETIOWATI</t>
  </si>
  <si>
    <t>MUH AFDAL MULTASYAM SATRIA</t>
  </si>
  <si>
    <t>IDRIES SYAH WALIYULLAH</t>
  </si>
  <si>
    <t>TIRZA CHRISTIEN BAE PASANDE</t>
  </si>
  <si>
    <t>FITRA RAMADHAN</t>
  </si>
  <si>
    <t>MIKA AMANDA GIDELIA</t>
  </si>
  <si>
    <t>IRYANTI</t>
  </si>
  <si>
    <t>INDAH PURWITASARI</t>
  </si>
  <si>
    <t>MARDA</t>
  </si>
  <si>
    <t>ALVIANA VINANDIA MANONGKAN</t>
  </si>
  <si>
    <t>PRAKASH JOE PARIHALA</t>
  </si>
  <si>
    <t>ANASTASYA SARI SOMALINGGI</t>
  </si>
  <si>
    <t>YUSRAN KUSUMA RAHMATULLAH</t>
  </si>
  <si>
    <t>DENY FERDHINATA REAY</t>
  </si>
  <si>
    <t>NURUL HARITZA AGNA KHAIRA R</t>
  </si>
  <si>
    <t>MUH FADIL</t>
  </si>
  <si>
    <t>JEANE AUREL ABIGAEL TUMONGGOR</t>
  </si>
  <si>
    <t>MUTIARA FATIMAH AZHARA</t>
  </si>
  <si>
    <t>SINTA</t>
  </si>
  <si>
    <t>ASNI WULANDARI</t>
  </si>
  <si>
    <t>MUH ALDI AMIR</t>
  </si>
  <si>
    <t>FEBRIANA AULIA SAHARANI</t>
  </si>
  <si>
    <t>EKA CHAERUNNISA</t>
  </si>
  <si>
    <t>KAMSINAR NASIR</t>
  </si>
  <si>
    <t>AINUL NISWA</t>
  </si>
  <si>
    <t>NURMISUARI SALIHU</t>
  </si>
  <si>
    <t>ANDI MUHAMMAD SALSABIL</t>
  </si>
  <si>
    <t>NIRMA</t>
  </si>
  <si>
    <t>NASARUDDIN NURDIN</t>
  </si>
  <si>
    <t>NATALIUS</t>
  </si>
  <si>
    <t>YULIANTY</t>
  </si>
  <si>
    <t>A MUHAMMAD NURHARNIN</t>
  </si>
  <si>
    <t>MUHAMMAD AINUN IDRUS</t>
  </si>
  <si>
    <t>MUHAMMAD YUSUF MAKKARAENG</t>
  </si>
  <si>
    <t>REHANDI SAPUTRA</t>
  </si>
  <si>
    <t>ANDI TENRISANNA</t>
  </si>
  <si>
    <t>MUH FAHIM</t>
  </si>
  <si>
    <t>DWIYANTO JEPRI</t>
  </si>
  <si>
    <t>ALVHIRA CAHYA MULYANI</t>
  </si>
  <si>
    <t>ALBER MEIWAN PUTRA GEA</t>
  </si>
  <si>
    <t>MUHAMMAD AKBAR</t>
  </si>
  <si>
    <t>NURUL REZKY AULIA G</t>
  </si>
  <si>
    <t>KRISUGANDA</t>
  </si>
  <si>
    <t>ANGGUN KRISTIYANTI</t>
  </si>
  <si>
    <t>SUCI MUSFIRA</t>
  </si>
  <si>
    <t>AMANDA</t>
  </si>
  <si>
    <t>RESKY FIRMANSYAH</t>
  </si>
  <si>
    <t>ASWAN ASIL</t>
  </si>
  <si>
    <t>MUH AKBAR JABIR</t>
  </si>
  <si>
    <t>MUH AWAL ADIPUTRA ABURAERAH</t>
  </si>
  <si>
    <t>ALOSIUS MISSA</t>
  </si>
  <si>
    <t>CHARNI DATU</t>
  </si>
  <si>
    <t>ANDRIAS HERMAWAN</t>
  </si>
  <si>
    <t>TRISMEIGAWATI TASMAN</t>
  </si>
  <si>
    <t>VIVID</t>
  </si>
  <si>
    <t>NURWAHYUNI</t>
  </si>
  <si>
    <t>GARY RACHMATAN</t>
  </si>
  <si>
    <t>RAHMANIA</t>
  </si>
  <si>
    <t>SEPRIADI BANDHOLAN TANDI</t>
  </si>
  <si>
    <t>HUSNUL MUBARAK</t>
  </si>
  <si>
    <t>MUHAMMAD ALIF RAMADANI</t>
  </si>
  <si>
    <t>IDRIS GHAFA SETIAWAN</t>
  </si>
  <si>
    <t>RAHMALIA ANISA FITRI</t>
  </si>
  <si>
    <t>DIZA VALENCIA</t>
  </si>
  <si>
    <t>RIZA PRAMUDYA RAMADHAN</t>
  </si>
  <si>
    <t>RAIZHA RAYHANANTA PRAYOGA</t>
  </si>
  <si>
    <t>MUHAMMAD SALMAN ALFARISI</t>
  </si>
  <si>
    <t>SITI KURNIAWATI</t>
  </si>
  <si>
    <t>HEBA H JONAS</t>
  </si>
  <si>
    <t>IWAN SUTISNA</t>
  </si>
  <si>
    <t>ARI NURVIANTO</t>
  </si>
  <si>
    <t>ABDUL SAMAD</t>
  </si>
  <si>
    <t>ROSALINE</t>
  </si>
  <si>
    <t>MUHAMMAD DARELL</t>
  </si>
  <si>
    <t>AHMAD REGI MAULANA</t>
  </si>
  <si>
    <t>KHAIRUNNISA NUR REZKIA</t>
  </si>
  <si>
    <t>DITA LESTARI</t>
  </si>
  <si>
    <t>DINDA DWI FAA'IZAH AL-ZAHIRAH</t>
  </si>
  <si>
    <t>ANDRIYONO IRAWAN</t>
  </si>
  <si>
    <t>FAQIIH AKBAR NASUTION</t>
  </si>
  <si>
    <t>NIA HIKMAWATI</t>
  </si>
  <si>
    <t>SALSABILA MIRZA</t>
  </si>
  <si>
    <t>VERONIKA DWIRIS ENDARTI</t>
  </si>
  <si>
    <t>SERIYANA</t>
  </si>
  <si>
    <t>MOHAMMAD SIDIK</t>
  </si>
  <si>
    <t>DIMAS PRASETYO</t>
  </si>
  <si>
    <t>DIDA ROHMAN</t>
  </si>
  <si>
    <t>RENNO CHRISTIAN TRISNO</t>
  </si>
  <si>
    <t>MIA AGUSTIN INDRIANI</t>
  </si>
  <si>
    <t>IQBAL RAMADHAN</t>
  </si>
  <si>
    <t>MUHAMMAD LUQMAN</t>
  </si>
  <si>
    <t>TIARA PRIFANANDA PUTRI</t>
  </si>
  <si>
    <t>INTAN FANDINI AGUSTINA</t>
  </si>
  <si>
    <t>GABRIEL ZETA GEOFANNY WAJONG</t>
  </si>
  <si>
    <t>RISMA INDAH CAHYANI</t>
  </si>
  <si>
    <t>VIERI NUR MARDANI</t>
  </si>
  <si>
    <t>SALWA SAKINAH</t>
  </si>
  <si>
    <t>VALENTINA</t>
  </si>
  <si>
    <t>ALUKE RYANTI</t>
  </si>
  <si>
    <t>ANIDA SILVIA MAULIDA</t>
  </si>
  <si>
    <t>RAIHAN SETYOAJI ALAMSYAH</t>
  </si>
  <si>
    <t>ARIENDRESTRI SETYANINGTYAS</t>
  </si>
  <si>
    <t>JULIA THIO</t>
  </si>
  <si>
    <t>DWI KHUMAEROH SAADAH</t>
  </si>
  <si>
    <t>DIMAS SETYA HERDANI RUSLAN</t>
  </si>
  <si>
    <t>HANIFA LAILA ZAITUNA</t>
  </si>
  <si>
    <t>ALDI ACHMAD TAQIYYAN</t>
  </si>
  <si>
    <t>JAELANI</t>
  </si>
  <si>
    <t>YULIUS BACHTIAR</t>
  </si>
  <si>
    <t>FITRI YENI</t>
  </si>
  <si>
    <t>AGUSTINUS NGATINO</t>
  </si>
  <si>
    <t>ANDI SETIAWAN MAULANA</t>
  </si>
  <si>
    <t>GEMBONG WICAKSONO UTOMO</t>
  </si>
  <si>
    <t>SHEVARAELIN RIBKA NATALIE KANDOU</t>
  </si>
  <si>
    <t>HABIL BAYHAKI</t>
  </si>
  <si>
    <t>NOVI OKTAVIA</t>
  </si>
  <si>
    <t>GILANG ARDYANTO PAMUNGKAS</t>
  </si>
  <si>
    <t>CHELYNNA MAEDDY</t>
  </si>
  <si>
    <t>FARID FATUR RAHMAN</t>
  </si>
  <si>
    <t>R NOVAL HERLANGGA</t>
  </si>
  <si>
    <t>FEBRY YAN GEAVARRO RISAMBESSY</t>
  </si>
  <si>
    <t>VRINSCA PAULUS</t>
  </si>
  <si>
    <t>FRION WILLY TAMAELA</t>
  </si>
  <si>
    <t>FIRMANSYAH GUNAWAN</t>
  </si>
  <si>
    <t>ANGLE KRISTIN SUMOLANG</t>
  </si>
  <si>
    <t>RAUF ANWAR</t>
  </si>
  <si>
    <t>ANTHONETA HENNY</t>
  </si>
  <si>
    <t>JACOB FRITS TAHAPARY</t>
  </si>
  <si>
    <t>TUNJUNG AGAM BINTORO</t>
  </si>
  <si>
    <t>RIKSAN WALI</t>
  </si>
  <si>
    <t>SELNA VANESA PASUMAIN</t>
  </si>
  <si>
    <t>VATYA AMELIA NADAA HAMIDAH</t>
  </si>
  <si>
    <t>NANDA AUFA RIANDRI</t>
  </si>
  <si>
    <t>MUHAMAT RIO</t>
  </si>
  <si>
    <t>ARIF TEGAR PRASETYO</t>
  </si>
  <si>
    <t>SARBJIT</t>
  </si>
  <si>
    <t>ANGGUN HERADINI</t>
  </si>
  <si>
    <t>MARSYA APRILIANI</t>
  </si>
  <si>
    <t>YUNITA WARDANI</t>
  </si>
  <si>
    <t>ARIFIN ILHAM</t>
  </si>
  <si>
    <t>ERLANGGA WITJAKSONO</t>
  </si>
  <si>
    <t>ABDUSY SYAHAB</t>
  </si>
  <si>
    <t>FAJAR APRILIAN SYAH PUTRA</t>
  </si>
  <si>
    <t>MUHAMAD ADRIYANSAH</t>
  </si>
  <si>
    <t>SYAKILA NOVRIANI</t>
  </si>
  <si>
    <t>SEPTIANA DEBI YANTI</t>
  </si>
  <si>
    <t>MUHAMMAD ABID MUZAKKY</t>
  </si>
  <si>
    <t>JANUAR TARMIDZI</t>
  </si>
  <si>
    <t>DANIEL DIMAS DWI PUTRA</t>
  </si>
  <si>
    <t>MUHAMMAD DAFFA FADILA</t>
  </si>
  <si>
    <t>APRIL ESAH TAMPUBOLON</t>
  </si>
  <si>
    <t>ASTRID MILENIA PUSPARINI</t>
  </si>
  <si>
    <t>BAMBANG JARKASI</t>
  </si>
  <si>
    <t>FAZAM ARBANITULLAH</t>
  </si>
  <si>
    <t>WINDA SRI EKA AGUSTINA</t>
  </si>
  <si>
    <t>SRI SITI RAHMAWATI</t>
  </si>
  <si>
    <t>FENNY ARSIATY</t>
  </si>
  <si>
    <t>PADILAH WARDANIA</t>
  </si>
  <si>
    <t>KHANSA ADILLAH RAMADHANTI</t>
  </si>
  <si>
    <t>NANANG HAMZAH</t>
  </si>
  <si>
    <t>ADYA PANGESTU</t>
  </si>
  <si>
    <t>MAUDI SITI MAULIDYA</t>
  </si>
  <si>
    <t>ANGGER RADITYA TAMA</t>
  </si>
  <si>
    <t>ARIF IBRAHIM</t>
  </si>
  <si>
    <t>ISVANDANU WICAKSONO</t>
  </si>
  <si>
    <t>PATRIA IMANUEL DAVID ENOCH</t>
  </si>
  <si>
    <t>FARAH LUMONGGA HARAHAP</t>
  </si>
  <si>
    <t>CHR DIDIEK WIWEKO A</t>
  </si>
  <si>
    <t>RESTUTIATI WAHYUNINGSIH</t>
  </si>
  <si>
    <t>MELLY ANDRIANI</t>
  </si>
  <si>
    <t>DIAN HASTUTI</t>
  </si>
  <si>
    <t>ENDANG RATNAWATI</t>
  </si>
  <si>
    <t>HARIYANTO</t>
  </si>
  <si>
    <t>ANDI MUTIARA</t>
  </si>
  <si>
    <t>HENDRO SUBENO</t>
  </si>
  <si>
    <t>M HAIKAL ROYAN</t>
  </si>
  <si>
    <t>DIAH SUSANTI</t>
  </si>
  <si>
    <t>SAKTI WIBOWO</t>
  </si>
  <si>
    <t>SUPRIYADI</t>
  </si>
  <si>
    <t>RIFQI JAMALI</t>
  </si>
  <si>
    <t>BINTANG KRISTIANI</t>
  </si>
  <si>
    <t>FADDLY VIRGIAWAN</t>
  </si>
  <si>
    <t>ODILIA LINTANG KINAYUNGAN DJAWOTO</t>
  </si>
  <si>
    <t>ARIP PRIYADI</t>
  </si>
  <si>
    <t>FERDI SEPTIAWAN</t>
  </si>
  <si>
    <t>FERA YULIANI</t>
  </si>
  <si>
    <t>AMANDA AULIA JASMINA</t>
  </si>
  <si>
    <t>DINDA ERINESTIN</t>
  </si>
  <si>
    <t>MUTHIA ZAHRA MAULIDA</t>
  </si>
  <si>
    <t>AHMAD DWI PANGESTU</t>
  </si>
  <si>
    <t>FERRA INDU RASMI</t>
  </si>
  <si>
    <t>GHUFRON DZAKY HABIBY</t>
  </si>
  <si>
    <t>RASYA ANGGITA</t>
  </si>
  <si>
    <t>ITTAQILAH NURUL AULIAH</t>
  </si>
  <si>
    <t>PUTRI ANNISA CAHYA</t>
  </si>
  <si>
    <t>HANIFAH DHIA HASNA</t>
  </si>
  <si>
    <t>MAULIDA APRILLIANI</t>
  </si>
  <si>
    <t>BAYU ALAMSYAH</t>
  </si>
  <si>
    <t>FARHAN RIZKI</t>
  </si>
  <si>
    <t>TEGAR WICAKSOMO PRIATAMA</t>
  </si>
  <si>
    <t>SELLY RAHMADHANI</t>
  </si>
  <si>
    <t>ALYA ARIFIN KRISDIANA</t>
  </si>
  <si>
    <t>RIZKI JULI WIBOWO</t>
  </si>
  <si>
    <t>FEBRIAN VALLENTINO</t>
  </si>
  <si>
    <t>MUHAMMAD FIKRI RAMADHAN</t>
  </si>
  <si>
    <t>FIRDA AMALIA RAHMAH</t>
  </si>
  <si>
    <t>DIKI CHANDRA</t>
  </si>
  <si>
    <t>DITA EVELLIANA GEMPITA</t>
  </si>
  <si>
    <t>KIKI SYAKILA</t>
  </si>
  <si>
    <t>SARI WAHANA</t>
  </si>
  <si>
    <t>FAHMI APRIAN</t>
  </si>
  <si>
    <t>TEGUH</t>
  </si>
  <si>
    <t>TUGIMAN</t>
  </si>
  <si>
    <t>YACOBUS MARJAKA</t>
  </si>
  <si>
    <t>NURLIS</t>
  </si>
  <si>
    <t>ENDARTO</t>
  </si>
  <si>
    <t>PIPIN SUPINAH</t>
  </si>
  <si>
    <t>AHMAD MISRAN SASONGKO</t>
  </si>
  <si>
    <t>GATOT SETYAWAN</t>
  </si>
  <si>
    <t>NUNUNG ROKAYAH</t>
  </si>
  <si>
    <t>AGUS MAULANA</t>
  </si>
  <si>
    <t>INTAN ADHEVA PUTRI</t>
  </si>
  <si>
    <t>CHINDY AUDIA MARTHATILANA</t>
  </si>
  <si>
    <t>DIMAS BAGUS DWI CAHYA</t>
  </si>
  <si>
    <t>JASON CALVIN</t>
  </si>
  <si>
    <t>MUHAMAD DIVA SURYA SUPRATMAN</t>
  </si>
  <si>
    <t>ANGELLO ANANTA DANDRA</t>
  </si>
  <si>
    <t>SION WILLIAM LAPENAGGA</t>
  </si>
  <si>
    <t>BENEDIKTUS ADI KURNIAWAN</t>
  </si>
  <si>
    <t>DEA DESMELITA PURNAMA</t>
  </si>
  <si>
    <t>DEVANO ARYA FAHREIZY</t>
  </si>
  <si>
    <t>ALBERTO SINAGA</t>
  </si>
  <si>
    <t>SUMARNO EFFENDI</t>
  </si>
  <si>
    <t>DANIYANTI</t>
  </si>
  <si>
    <t>NATALIA KURNIA CHRISTIANAWATI</t>
  </si>
  <si>
    <t>IRVAN MUHAMAD THALIB</t>
  </si>
  <si>
    <t>FADIYAH ANANDA</t>
  </si>
  <si>
    <t>CHELSI APRILIA MANALU</t>
  </si>
  <si>
    <t>MUHAMMAD RENDY SAPUTRA</t>
  </si>
  <si>
    <t>MUHAMMAD FATHI YUNUS ALIM</t>
  </si>
  <si>
    <t>ZULKIFLI U. RAHIM</t>
  </si>
  <si>
    <t>ASMIRA ABUBAKAR</t>
  </si>
  <si>
    <t>TIYARA RUDI</t>
  </si>
  <si>
    <t>DWITA ANGGRAINI HASYIM</t>
  </si>
  <si>
    <t>PUPUT BATAWI</t>
  </si>
  <si>
    <t>R ALIF ELMAND BOMANTARA</t>
  </si>
  <si>
    <t>AGUNG PUTRA ANUGRAH</t>
  </si>
  <si>
    <t>ANDHIKA BUDY PERMANA</t>
  </si>
  <si>
    <t>NOVIT ARYANTO RUMBIA</t>
  </si>
  <si>
    <t>YOHANES HARYOTO WIDIANTO</t>
  </si>
  <si>
    <t>HALIMAH HASAN ST</t>
  </si>
  <si>
    <t>LILI SURANI MUHAMAD</t>
  </si>
  <si>
    <t>NATALIA JURAIS</t>
  </si>
  <si>
    <t>RADITHYA TIRTANA M. DJAE</t>
  </si>
  <si>
    <t>MATHEUS MANASYE LENGGU</t>
  </si>
  <si>
    <t>ANTONIUS SUWARNO</t>
  </si>
  <si>
    <t>ANTONIUS DEDI SUWARDI</t>
  </si>
  <si>
    <t>SAMBUDI</t>
  </si>
  <si>
    <t>BUDI ARDINI</t>
  </si>
  <si>
    <t>YUSUP WAHYU RUDI WIBOWO</t>
  </si>
  <si>
    <t>TRIYOGA JATMIKO CHRISTOPORUS</t>
  </si>
  <si>
    <t>DEDE FARID ZAKARIA</t>
  </si>
  <si>
    <t>FADHILA</t>
  </si>
  <si>
    <t>AULIA ARABELLA</t>
  </si>
  <si>
    <t>MUHAMAD ANSARI</t>
  </si>
  <si>
    <t>MUHAMMAD RIVALDI NOOR</t>
  </si>
  <si>
    <t>MUHAMMAD FAUZI RAHMAN</t>
  </si>
  <si>
    <t>IBROHIM BARDAN</t>
  </si>
  <si>
    <t>ADELINA MELATI SUKMA</t>
  </si>
  <si>
    <t>MUHAMMAD SOFI SAPUTRA</t>
  </si>
  <si>
    <t>DHIYA USSYARIF</t>
  </si>
  <si>
    <t>MUHAMMAD ZAILANI</t>
  </si>
  <si>
    <t>KAMILA ARIVA SEHAN</t>
  </si>
  <si>
    <t>SITI NADYA AZZAHRA</t>
  </si>
  <si>
    <t>JUANDA</t>
  </si>
  <si>
    <t>MUHAMMAD REZKI</t>
  </si>
  <si>
    <t>SUCI HAYATI</t>
  </si>
  <si>
    <t>INDRA WIJAYA PUTRA H</t>
  </si>
  <si>
    <t>MUHAMMAD HALIL</t>
  </si>
  <si>
    <t>AHMAD DEWANTARA</t>
  </si>
  <si>
    <t>SRI VIA WAHYUNI</t>
  </si>
  <si>
    <t>PURA SABARA</t>
  </si>
  <si>
    <t>WIDIYANTO</t>
  </si>
  <si>
    <t>NURUL AIEN</t>
  </si>
  <si>
    <t>LILIK HENDRO SAPUTRA</t>
  </si>
  <si>
    <t>ELLYA FAKHRIANI</t>
  </si>
  <si>
    <t>TAUFIKURRAHMAN</t>
  </si>
  <si>
    <t>ROHMAH</t>
  </si>
  <si>
    <t>MUHAMMAD RIZKAN</t>
  </si>
  <si>
    <t>SIFA AULIA FITRI</t>
  </si>
  <si>
    <t>PUTRI PUSPITASARI</t>
  </si>
  <si>
    <t>AISYA KHALIILAH ZAHRA</t>
  </si>
  <si>
    <t>MUHAMMAD HAFIZH</t>
  </si>
  <si>
    <t>NUR KHALIPAH</t>
  </si>
  <si>
    <t>FATHURRAHMAN</t>
  </si>
  <si>
    <t>M GAZALI RAHMAN</t>
  </si>
  <si>
    <t>MASITAH</t>
  </si>
  <si>
    <t>AFRIYANNUR</t>
  </si>
  <si>
    <t>HASBI RAJAB ASSADIQI</t>
  </si>
  <si>
    <t>AHMAD FAUZI</t>
  </si>
  <si>
    <t>PUTRI NAUFAL ARIDHA</t>
  </si>
  <si>
    <t>MUHAMMAD NAUFAL RAFIF</t>
  </si>
  <si>
    <t>SAIFUL ANWAR</t>
  </si>
  <si>
    <t>DEDY YULIZAR</t>
  </si>
  <si>
    <t>NUR NAJMI ATINA</t>
  </si>
  <si>
    <t>ADIFAH MAULIANY</t>
  </si>
  <si>
    <t>ULFAH</t>
  </si>
  <si>
    <t>I WAYAN BAGIADA</t>
  </si>
  <si>
    <t>ASPUHANI</t>
  </si>
  <si>
    <t>ADI FODAY</t>
  </si>
  <si>
    <t>INDRA LESMANA</t>
  </si>
  <si>
    <t>SAHIDATUN NISA</t>
  </si>
  <si>
    <t>PUTRI NUR ANJELI</t>
  </si>
  <si>
    <t>SEPTIANA</t>
  </si>
  <si>
    <t>NURLATIFAH</t>
  </si>
  <si>
    <t>JIHAN AULIYA SAFITRI</t>
  </si>
  <si>
    <t>PRADITA RESTU RAMADHAN</t>
  </si>
  <si>
    <t>DWI AZANNABILLA</t>
  </si>
  <si>
    <t>GREGORIUS BAGAS VITA PAMUNGKAS</t>
  </si>
  <si>
    <t>ADI RIYADI</t>
  </si>
  <si>
    <t>YULMA ROSMAWATI</t>
  </si>
  <si>
    <t>ROSALINA ELFRATILOVA</t>
  </si>
  <si>
    <t>MEKY DWI CHRISTYANTO</t>
  </si>
  <si>
    <t>SINDI NURHAYATI</t>
  </si>
  <si>
    <t>ARYA SEPTYO AJI NUGRAHA</t>
  </si>
  <si>
    <t>ERSA MEILINA</t>
  </si>
  <si>
    <t>FARADHILLA FIRDA FIRDIANI</t>
  </si>
  <si>
    <t>MUHAMAD ARIPIN</t>
  </si>
  <si>
    <t>AHMAD ROHIMAN</t>
  </si>
  <si>
    <t>NATASYA ANGELICA AMELIA</t>
  </si>
  <si>
    <t>EFRILLIA SETIA BUDI</t>
  </si>
  <si>
    <t>ADE INRIYANI</t>
  </si>
  <si>
    <t>KHARISTMA FITRIYANI</t>
  </si>
  <si>
    <t>NURUL ANWAR FIRDAUS</t>
  </si>
  <si>
    <t>FAHMI IBRAHIM AJI</t>
  </si>
  <si>
    <t>MOH ROZIQ</t>
  </si>
  <si>
    <t>FAISAL AZIZUL HAFIZ</t>
  </si>
  <si>
    <t>FAHMI FAHREZA</t>
  </si>
  <si>
    <t>HERDIYAN RADITYO</t>
  </si>
  <si>
    <t>MARIFAH</t>
  </si>
  <si>
    <t>DIANA HADIWITANTO</t>
  </si>
  <si>
    <t>THOMAS DEDI SUPRIADI</t>
  </si>
  <si>
    <t>FEBRIANSYAH</t>
  </si>
  <si>
    <t>FAGIL RACHMAN DARMAWAN PUTRA</t>
  </si>
  <si>
    <t>ANNISA ASRI SEPTIANTY</t>
  </si>
  <si>
    <t>ALDO NUR FADILLAH</t>
  </si>
  <si>
    <t>SISYLIYA CYNTIYANI</t>
  </si>
  <si>
    <t>KHAYLA YULIANSYAH</t>
  </si>
  <si>
    <t>MAR AHTUN SOLEKHA</t>
  </si>
  <si>
    <t>FEBI YANTI SAPUTRI</t>
  </si>
  <si>
    <t>MUHAMMAD IRSYAD AMAR DZAKI</t>
  </si>
  <si>
    <t>MOHAMMAD AZHARI RAMADHAN</t>
  </si>
  <si>
    <t>ADRI WISNU WARDANA</t>
  </si>
  <si>
    <t>SUCI OKTAVIANI</t>
  </si>
  <si>
    <t>SITI MUTMAINAH</t>
  </si>
  <si>
    <t>DIKI NURFALAH</t>
  </si>
  <si>
    <t>ARIELLA CAYADEWI RAHAGI</t>
  </si>
  <si>
    <t>DESY PURNAMASARI</t>
  </si>
  <si>
    <t>DESTIA NOFA</t>
  </si>
  <si>
    <t>ANASTASIA DIAH JUNITA</t>
  </si>
  <si>
    <t>SAIFULLAH KAMAL</t>
  </si>
  <si>
    <t>DEDI WAHYUDI</t>
  </si>
  <si>
    <t>IQBAL ALDITIO</t>
  </si>
  <si>
    <t>MUKHAMAD HAFIZ ARIS</t>
  </si>
  <si>
    <t>THIANA JILLIAN</t>
  </si>
  <si>
    <t>MUHAMMAD BASHORI</t>
  </si>
  <si>
    <t>EVA SEFTIA NUR AISAH</t>
  </si>
  <si>
    <t>DARMA RADITYA</t>
  </si>
  <si>
    <t>TARUNA FIGO MALIKIANO</t>
  </si>
  <si>
    <t>CANTIKA PUTRI SADINA</t>
  </si>
  <si>
    <t>DIMAS ROHMANDANI</t>
  </si>
  <si>
    <t>MUHAMMAD GUNTUR</t>
  </si>
  <si>
    <t>TIKA APRILIANA PRASETYOWATI</t>
  </si>
  <si>
    <t>KURNIAWAN SUKMA PERMANA</t>
  </si>
  <si>
    <t>LIDYA PERMATASARI</t>
  </si>
  <si>
    <t>WIDYASTUTI</t>
  </si>
  <si>
    <t>MUHAMMAD REVALDO</t>
  </si>
  <si>
    <t>EKA PUTRI MAHARANI</t>
  </si>
  <si>
    <t>NEDYA ANGGRAINI</t>
  </si>
  <si>
    <t>MARGA TRI NUCHE WISNE FIRDANA BAWI</t>
  </si>
  <si>
    <t>MUHAMMAD ADITYA</t>
  </si>
  <si>
    <t>BENAYA MILIONHART</t>
  </si>
  <si>
    <t>JUAN NITA PRATIWI</t>
  </si>
  <si>
    <t>AHMAD KASYPUDDIN</t>
  </si>
  <si>
    <t>DIAN RATNA KAMASTUTI</t>
  </si>
  <si>
    <t>ADE SETIA WATI</t>
  </si>
  <si>
    <t>MUHAMAD MAULANA</t>
  </si>
  <si>
    <t>RIO PRASTIO</t>
  </si>
  <si>
    <t>RENDYT ZULKURNIA GUSTI PRATAMA</t>
  </si>
  <si>
    <t>INTAN SYIFFA FRATIKA</t>
  </si>
  <si>
    <t>DWITA SAPUTRI</t>
  </si>
  <si>
    <t>ABDUL ROZAK</t>
  </si>
  <si>
    <t>JOKO NUR ARIPPIN</t>
  </si>
  <si>
    <t>SHAFA SAL SABILA</t>
  </si>
  <si>
    <t>BINTANG TRI WIDODO</t>
  </si>
  <si>
    <t>DIMAS BAGUS RAMADLAN</t>
  </si>
  <si>
    <t>ADHITYA PERDANA</t>
  </si>
  <si>
    <t>AMANDA DOROTHEA SANTOSA</t>
  </si>
  <si>
    <t>RAHMAT FAJAR SODIQ</t>
  </si>
  <si>
    <t>FEBY JULI ANGGRAINI</t>
  </si>
  <si>
    <t>ARIFATUL ANISA</t>
  </si>
  <si>
    <t>ADITIA PUTRA PRATAMA</t>
  </si>
  <si>
    <t>RIFKY PUTRA PAMUJI</t>
  </si>
  <si>
    <t>NOVA BRIANTAMA</t>
  </si>
  <si>
    <t>YUNITA SAPUTRI</t>
  </si>
  <si>
    <t>YOHANES DRAJAT BAGUS KUSUMA</t>
  </si>
  <si>
    <t>MUTIA ZAHRANI FAUZI</t>
  </si>
  <si>
    <t>DIFA LUTFIANTI</t>
  </si>
  <si>
    <t>SARAH BUNAIYAH</t>
  </si>
  <si>
    <t>YULIANA NUR CAHYANI</t>
  </si>
  <si>
    <t>TRIO FERIANTO</t>
  </si>
  <si>
    <t>WINARNO</t>
  </si>
  <si>
    <t>HEDI SUPOMO</t>
  </si>
  <si>
    <t>FABIANUS SUNARNO</t>
  </si>
  <si>
    <t>FRANSISCUS XAVERIUS SUMARYOTO</t>
  </si>
  <si>
    <t>YUNI ISTYANINGSIH</t>
  </si>
  <si>
    <t>KRISNA PRASETYA</t>
  </si>
  <si>
    <t>HELMI ZULFADLI</t>
  </si>
  <si>
    <t>AINUN FIQIYAH</t>
  </si>
  <si>
    <t>ADINDA NUR SAVITRI</t>
  </si>
  <si>
    <t>DWI APRILAKSANA HARDIANTO</t>
  </si>
  <si>
    <t>ALYA FITRI SILVANIA</t>
  </si>
  <si>
    <t>ELSHINTA MELATI NURRAHMA</t>
  </si>
  <si>
    <t>SURYA FEBRIYANS</t>
  </si>
  <si>
    <t>MUHAMMAD DHAFFA ARYAPUTRA</t>
  </si>
  <si>
    <t>BINTANG SAMUDRA BAGUS ISWANTO</t>
  </si>
  <si>
    <t>WILNA ERLITA INDRIATI</t>
  </si>
  <si>
    <t>RUBEN RONALDY</t>
  </si>
  <si>
    <t>SELFANA AULIA ZULKARNAIN</t>
  </si>
  <si>
    <t>DYAH PERTIWI PURNAMANINGRUM</t>
  </si>
  <si>
    <t>FRANSISCUS SUGIHARTO SAPTAPUTRA</t>
  </si>
  <si>
    <t>IMAM SULAIMAN SYAH</t>
  </si>
  <si>
    <t>CHAMMAD CHAERUL YAQIN</t>
  </si>
  <si>
    <t>APRILINA SITI NURANISA</t>
  </si>
  <si>
    <t>DITHA ERSA MELANI</t>
  </si>
  <si>
    <t>LATIFA GITA SOULIFA</t>
  </si>
  <si>
    <t>UMI NUR AROFAH</t>
  </si>
  <si>
    <t>PUTRI SETIANINGRUM</t>
  </si>
  <si>
    <t>AFRIZAL HANDIS BAIHAQI</t>
  </si>
  <si>
    <t>AFITA RATNASARI</t>
  </si>
  <si>
    <t>ELIZABETH NADYA WAWANDATU</t>
  </si>
  <si>
    <t>SILFA SALMA SHINE</t>
  </si>
  <si>
    <t>SOFIA RIZKAL KARIMAH</t>
  </si>
  <si>
    <t>DINI PARASTIWI</t>
  </si>
  <si>
    <t>ERIKA CAROLINE HARIANJA</t>
  </si>
  <si>
    <t>RIDHO BAGUS ANGGORO</t>
  </si>
  <si>
    <t>AMANDA SEPTI PUTRI SUSENO</t>
  </si>
  <si>
    <t>STEFANUS CAGAR MANUSAKERTI</t>
  </si>
  <si>
    <t>FIRLY AUFA AHSANTI</t>
  </si>
  <si>
    <t>CAMELIA SYADZA AZ ZAHRA</t>
  </si>
  <si>
    <t>AIRA AMELIA PUTRI</t>
  </si>
  <si>
    <t>SIGIT PRATAMA</t>
  </si>
  <si>
    <t>ALFIANA ROSYIDAH</t>
  </si>
  <si>
    <t>ASHROFA WAHYU AIMAN</t>
  </si>
  <si>
    <t>ASTY ANNISAWATI</t>
  </si>
  <si>
    <t>GABRIEL JULIAN YOGANANDA</t>
  </si>
  <si>
    <t>MUHAMMAD RIAN RIZKI ALDIANSYAH</t>
  </si>
  <si>
    <t>SEKARAYU RAMADANINGTYAS S</t>
  </si>
  <si>
    <t>YUANI SINTA DEWI PUSPITA</t>
  </si>
  <si>
    <t>YASMIN NIDA FIRDAUSI</t>
  </si>
  <si>
    <t>DIMAZ TRAFINDO</t>
  </si>
  <si>
    <t>AZIS BUDI NUGROHO</t>
  </si>
  <si>
    <t>YULIA NURMAWATI ANITA DEWAYANI</t>
  </si>
  <si>
    <t>EKO BUDI WALUYO</t>
  </si>
  <si>
    <t>SUNARKO</t>
  </si>
  <si>
    <t>IS SURYANI</t>
  </si>
  <si>
    <t>KRIS JOHARSO</t>
  </si>
  <si>
    <t>CH PURWANTININGSIH</t>
  </si>
  <si>
    <t>CHRISPINUS WAHYU RAHARJA</t>
  </si>
  <si>
    <t>SUMANTO</t>
  </si>
  <si>
    <t>TRIYO SUSANTO</t>
  </si>
  <si>
    <t>PETRUS SARJITA</t>
  </si>
  <si>
    <t>VINA AL MUNA</t>
  </si>
  <si>
    <t>NAYLA PUTERI NUGRAHA</t>
  </si>
  <si>
    <t>LUSSI FATMAWATI</t>
  </si>
  <si>
    <t>MUHAMMAD IKHLASUDZIKRI</t>
  </si>
  <si>
    <t>LUCYANA AGINZA</t>
  </si>
  <si>
    <t>IQBAL FATAH ZUMNA</t>
  </si>
  <si>
    <t>PUTRI LUTFUN NISA</t>
  </si>
  <si>
    <t>ABROR ALFAUZY</t>
  </si>
  <si>
    <t>THIUS PRILLA HERDINI</t>
  </si>
  <si>
    <t>RIO BUDI HENDRAWAN</t>
  </si>
  <si>
    <t>MANUEL BENEDICTH IVAN SURYONINGMAS</t>
  </si>
  <si>
    <t>AL MUZAKARYA</t>
  </si>
  <si>
    <t>TIA NUR FAIZAH</t>
  </si>
  <si>
    <t>MOCHAMMAD DENNIS ALFARIZI</t>
  </si>
  <si>
    <t>SYAHRUL FALAH</t>
  </si>
  <si>
    <t>VIONI BUNGA FADHILATUL</t>
  </si>
  <si>
    <t>ALVANI SEKAR WIBOWO</t>
  </si>
  <si>
    <t>A KARTIKA DEWI DIBYASTUTI</t>
  </si>
  <si>
    <t>FERENA CHRISTINE LOLANG</t>
  </si>
  <si>
    <t>MUCHAMMAD ICHSAN SAPUTRA</t>
  </si>
  <si>
    <t>LEONARD DANARO HARIYANTO</t>
  </si>
  <si>
    <t>BINTANG YUDA SAPUTRA</t>
  </si>
  <si>
    <t>NAFIZZA RAHMAWATI</t>
  </si>
  <si>
    <t>SAFIR</t>
  </si>
  <si>
    <t>INTAN DWI SEPTIANI</t>
  </si>
  <si>
    <t>RAIHAN ADI WIJAYA</t>
  </si>
  <si>
    <t>ABDURROCHIM BUDI SANTOSO</t>
  </si>
  <si>
    <t>TYAS WULANDARI</t>
  </si>
  <si>
    <t>DWIKI ROSSITA PUTRI</t>
  </si>
  <si>
    <t>ANGGUNG PRAYOGO</t>
  </si>
  <si>
    <t>PINGKY KURNI PUTRI</t>
  </si>
  <si>
    <t>NABILA AJRINA SALSABILLA</t>
  </si>
  <si>
    <t>YASMINE NORMA ANGGRAENI</t>
  </si>
  <si>
    <t>KHARISMA TYAS WIDYA ESTI</t>
  </si>
  <si>
    <t>LATIFAH NURAINI</t>
  </si>
  <si>
    <t>ELISABET SOMBAY</t>
  </si>
  <si>
    <t>HERIBERTUS JUMARI</t>
  </si>
  <si>
    <t>YAKOBUS MARIAHI</t>
  </si>
  <si>
    <t>NOVIA ANGGRAINY</t>
  </si>
  <si>
    <t>HADI PRAYITNO</t>
  </si>
  <si>
    <t>GUNTUR BAYU SAPUTRA</t>
  </si>
  <si>
    <t>TASYA AYU PARAMITA</t>
  </si>
  <si>
    <t>NADILA DWI HAPSARI</t>
  </si>
  <si>
    <t>HANIF FALAHUDIN</t>
  </si>
  <si>
    <t>SHAKIRA NURHALISA</t>
  </si>
  <si>
    <t>TRIANA NOVITA SARI</t>
  </si>
  <si>
    <t>ALTHAF RIFFAT AFFANDY</t>
  </si>
  <si>
    <t>RATIH MARDIANA</t>
  </si>
  <si>
    <t>STIVEN OKTAVIANO</t>
  </si>
  <si>
    <t>JANITA DWI UTAMI</t>
  </si>
  <si>
    <t>DHIFA FERISKA AURERA PUTRI</t>
  </si>
  <si>
    <t>VERONIKA ELLY PUJIASTUTI</t>
  </si>
  <si>
    <t>MUKTI DARMA</t>
  </si>
  <si>
    <t>HARIYANI</t>
  </si>
  <si>
    <t>NOVA RIZA KELANA</t>
  </si>
  <si>
    <t>ADHI LAKSMANA VIJAYA</t>
  </si>
  <si>
    <t>RAFIZAN ABDUL RAHIM</t>
  </si>
  <si>
    <t>ANDIKA ALFIYANA MA RUF</t>
  </si>
  <si>
    <t>ANITA AMINNUDIN</t>
  </si>
  <si>
    <t>FERDY ADI PERMANA</t>
  </si>
  <si>
    <t>CLAUDYA KINAYA BRILLIANT</t>
  </si>
  <si>
    <t>HANNA PUTRI CHOERUNISA</t>
  </si>
  <si>
    <t>DWIKO MAHARDIKA</t>
  </si>
  <si>
    <t>JOKO NUGROHO</t>
  </si>
  <si>
    <t>MUHLISIN</t>
  </si>
  <si>
    <t>ADHITYA ARIS WIBOWO</t>
  </si>
  <si>
    <t>WIWID MULYANI</t>
  </si>
  <si>
    <t>MUHAMMAD DZAKY RIZQ ARKANA</t>
  </si>
  <si>
    <t>NOVAL ADHITIA</t>
  </si>
  <si>
    <t>DANANG YUSUF ISMANTO</t>
  </si>
  <si>
    <t>DICKY ARSY NURRIDWAN</t>
  </si>
  <si>
    <t>TITAN KUMALASARI</t>
  </si>
  <si>
    <t>MAYA ARI WARDANI</t>
  </si>
  <si>
    <t>AZIDAN VALENT</t>
  </si>
  <si>
    <t>NAUFAL ADE DARMANSYAH</t>
  </si>
  <si>
    <t>YUNITA DWI ARISANTI</t>
  </si>
  <si>
    <t>YUSTINA SUTARSIH</t>
  </si>
  <si>
    <t>DANIEL WIMBUH SWASTA ANGGORO</t>
  </si>
  <si>
    <t>HERNAWANTO</t>
  </si>
  <si>
    <t>ROBERTUS DWISUKAMTA</t>
  </si>
  <si>
    <t>BAMBANG SETYO CAHYONO</t>
  </si>
  <si>
    <t>JOKO SANTOSO</t>
  </si>
  <si>
    <t>MARTA YOSEVA UNA ASRINI</t>
  </si>
  <si>
    <t>ALDILLA RIZKY PRITAWARDHANI</t>
  </si>
  <si>
    <t>RIFQI NUGRAHA</t>
  </si>
  <si>
    <t>CHRIST MAHENDRA WIDYASTOKO</t>
  </si>
  <si>
    <t>ALOYSIA SETYA BUDI ANDAYANI</t>
  </si>
  <si>
    <t>EMMANUEL EKO KURNIAWAN</t>
  </si>
  <si>
    <t>BENY SUPRAPTANA</t>
  </si>
  <si>
    <t>ARIFIN</t>
  </si>
  <si>
    <t>ARI WICAKSONO</t>
  </si>
  <si>
    <t>PAUL KURNIAWAN</t>
  </si>
  <si>
    <t>OTNIEL RAHARJO</t>
  </si>
  <si>
    <t>MONIKA SEPTIANA ARUNI</t>
  </si>
  <si>
    <t>NAZUHA SALSABILA</t>
  </si>
  <si>
    <t>BUNGA ALITA MAHARANI</t>
  </si>
  <si>
    <t>OTTAVIANTI AULIA PUTRI</t>
  </si>
  <si>
    <t>RIAN PRASETYO</t>
  </si>
  <si>
    <t>VICO TRI CAHYA RAMADHAN</t>
  </si>
  <si>
    <t>OKTAVIAN RAHMADAN BAGAS PRAKOSO</t>
  </si>
  <si>
    <t>INTAN WINDI NUR AINI</t>
  </si>
  <si>
    <t>LOLITA SELVI SETIANINGRUM</t>
  </si>
  <si>
    <t>WAHYU SLAMET</t>
  </si>
  <si>
    <t>BASUKI</t>
  </si>
  <si>
    <t>PIA MARIA LENI MULYATI</t>
  </si>
  <si>
    <t>TONI EFENDI</t>
  </si>
  <si>
    <t>ADITIA PUTRA MAHENDRA</t>
  </si>
  <si>
    <t>SEKAR DAMAYANTI</t>
  </si>
  <si>
    <t>DIMAS YOGI TRI HANDOYO</t>
  </si>
  <si>
    <t>GHOFUR RAMADHAN</t>
  </si>
  <si>
    <t>MUHARIRIN NASIAH</t>
  </si>
  <si>
    <t>SHALOM SARAH</t>
  </si>
  <si>
    <t>DWI THIB ASSIBA</t>
  </si>
  <si>
    <t>MUHAMMAD UMAR BAHUSIN</t>
  </si>
  <si>
    <t>FEBBI NATASYA PUTRI</t>
  </si>
  <si>
    <t>FIKA MELIALLA TAMA</t>
  </si>
  <si>
    <t>RIZKI NURROHMAD</t>
  </si>
  <si>
    <t>JENIKA ANGELIA MAHARANI</t>
  </si>
  <si>
    <t>RIZKA ALFIYA WANDANU</t>
  </si>
  <si>
    <t>FERRY NUR MUHAMMAD</t>
  </si>
  <si>
    <t>NAZAL LAUDZA NABIL</t>
  </si>
  <si>
    <t>GANDA AWAL RAMADHAN</t>
  </si>
  <si>
    <t>HERNAWAN PRIHATMOJO</t>
  </si>
  <si>
    <t>LATIVA YEGTI SETYO UTAMI</t>
  </si>
  <si>
    <t>SILVESTER ANGGIT SOSRO PRASETYO</t>
  </si>
  <si>
    <t>SUCIPTO</t>
  </si>
  <si>
    <t>RANIAH AZALEA AZZAHRA</t>
  </si>
  <si>
    <t>TASYA ALIFIA WIDIANINGTYAS</t>
  </si>
  <si>
    <t>MUHAMMAD HAIKAL FIRMANSYAH</t>
  </si>
  <si>
    <t>ANTONIUS WAGINO</t>
  </si>
  <si>
    <t>VERONICA ENI SUMARLIN</t>
  </si>
  <si>
    <t>EKO PUDJI WAHJUNI</t>
  </si>
  <si>
    <t>INDRARINI</t>
  </si>
  <si>
    <t>YUSTINUS MARTONO</t>
  </si>
  <si>
    <t>SUWARDI</t>
  </si>
  <si>
    <t>ANTONIUS SUPARJO</t>
  </si>
  <si>
    <t>SRI LESTARI</t>
  </si>
  <si>
    <t>WIWIN KURNIASIH</t>
  </si>
  <si>
    <t>SUTIKNO</t>
  </si>
  <si>
    <t>SRI MAWARTI</t>
  </si>
  <si>
    <t>DWI AGUSTIN PUJIMULYANI</t>
  </si>
  <si>
    <t>SUMARWANTO</t>
  </si>
  <si>
    <t>ITA INDARWATI</t>
  </si>
  <si>
    <t>AANG GUNAWAN</t>
  </si>
  <si>
    <t>YUDIT MAHARGYANINGTYAS</t>
  </si>
  <si>
    <t>DAVID JONATHAN</t>
  </si>
  <si>
    <t>NAELA SAFITRI</t>
  </si>
  <si>
    <t>EMMANUELA LOVISA ARISTA NANDA</t>
  </si>
  <si>
    <t>DHEWI CHOIRUNNISA</t>
  </si>
  <si>
    <t>INDHI RAHMAWATI</t>
  </si>
  <si>
    <t>DIMAS MAULANA ANDIKA PUTRA</t>
  </si>
  <si>
    <t>PUTRA ADITYATAMA</t>
  </si>
  <si>
    <t>CORNELIUS TRI GUNTORO</t>
  </si>
  <si>
    <t>RENI HAIKE PASLA</t>
  </si>
  <si>
    <t>MUHAMMAD YASIN</t>
  </si>
  <si>
    <t>DONAL SAPUTRA</t>
  </si>
  <si>
    <t>FAHRI KHUSAENI</t>
  </si>
  <si>
    <t>MUHAMMAD NASRULLAH</t>
  </si>
  <si>
    <t>MALIKA  ALEA CASTRA G</t>
  </si>
  <si>
    <t>DEANE MARGARETHA SAGALA</t>
  </si>
  <si>
    <t>DEBORA PATRICIA</t>
  </si>
  <si>
    <t>CHAIRUL CAHYA MAJID PRATAMA</t>
  </si>
  <si>
    <t>MUHAMAD NAZMUDIN</t>
  </si>
  <si>
    <t>M RISKI IMANSYAH</t>
  </si>
  <si>
    <t>PERDI IRAWAN</t>
  </si>
  <si>
    <t>FIRNANDA FAZLI AQILLA</t>
  </si>
  <si>
    <t>DONI OKTAVIAN DUHA</t>
  </si>
  <si>
    <t>ROBERT SEPTYANUS RAGA ADOE</t>
  </si>
  <si>
    <t>PARYANI</t>
  </si>
  <si>
    <t>ERMINA SUCI ELMIYATI</t>
  </si>
  <si>
    <t>DWI ENDANG PAMULARSIH SE</t>
  </si>
  <si>
    <t>GABRIEL LAIA</t>
  </si>
  <si>
    <t>NYAYAN SOVIA RIYANTO</t>
  </si>
  <si>
    <t>NAZWA SYABILAH</t>
  </si>
  <si>
    <t>NASYWA AMALIA PUTRI</t>
  </si>
  <si>
    <t>VIRLY TRIA DESINTA</t>
  </si>
  <si>
    <t>BAGAS ADI WIJAYA</t>
  </si>
  <si>
    <t>RENITA AMBAR</t>
  </si>
  <si>
    <t>MARCELINO IRGY PRASETYO</t>
  </si>
  <si>
    <t>YAUMIL AKHIR</t>
  </si>
  <si>
    <t>NATALISMAN WARUWU</t>
  </si>
  <si>
    <t>LESTARI SERAH SEHATI TELAUMBANUA</t>
  </si>
  <si>
    <t>RAYA INDAH BR SINAGA</t>
  </si>
  <si>
    <t>ANGGA DIANSYAH</t>
  </si>
  <si>
    <t>HARPA HENDRA SURYA GEMILANG</t>
  </si>
  <si>
    <t>MUHAMMAD SYAHDAN AKHMAL ADRYAN</t>
  </si>
  <si>
    <t>ROBBY APRIAN</t>
  </si>
  <si>
    <t>RANI SEIFITRI BR LUBIS</t>
  </si>
  <si>
    <t>IRFAN MAULANA</t>
  </si>
  <si>
    <t>HELENA YULIARTI SITUMEANG</t>
  </si>
  <si>
    <t>SULAMIT SIMANJUNTAK</t>
  </si>
  <si>
    <t>TATY ENDANG SIMANULLANG</t>
  </si>
  <si>
    <t>I GUSTI NGURAH DWI PALGUNAWAN</t>
  </si>
  <si>
    <t>BELA MARGARETTA SIMANJUNTAK</t>
  </si>
  <si>
    <t>ASTRID YOLANDA BR GINTING</t>
  </si>
  <si>
    <t>A'DAFIN NOVRYAN</t>
  </si>
  <si>
    <t>MAULANA SUKMA AULIA</t>
  </si>
  <si>
    <t>DEDY SURYANA</t>
  </si>
  <si>
    <t>SALSA NURFATIHAH</t>
  </si>
  <si>
    <t>REFSA ADITIYA LAIYA</t>
  </si>
  <si>
    <t>MUHAMAD SYAMSUL ANWAR</t>
  </si>
  <si>
    <t>RONGGO TANTRI YOGYANTO</t>
  </si>
  <si>
    <t>DITA SARI</t>
  </si>
  <si>
    <t>MUHAMMAD ZULFIKAR</t>
  </si>
  <si>
    <t>NADIA IVANCA HUTAGALUNG</t>
  </si>
  <si>
    <t>ERNA KARDINAH SAFITRIANI</t>
  </si>
  <si>
    <t>MUHAMMAD RIDHO</t>
  </si>
  <si>
    <t>ALIF DJAYA NURHIDAYATULLAH</t>
  </si>
  <si>
    <t>FARRIZ RAMDHAN SAPUTRA</t>
  </si>
  <si>
    <t>RICO RAMADHANI</t>
  </si>
  <si>
    <t>DINDA TIARA FEBRIANTY</t>
  </si>
  <si>
    <t>CIKANAMI ARTHANINDRA KHAILA PAHLEVY</t>
  </si>
  <si>
    <t>ILHAM SYAPUTRA</t>
  </si>
  <si>
    <t>DAFFA NAUFAL ATHALLAH</t>
  </si>
  <si>
    <t>AMANDA PUTRI PRASETYA</t>
  </si>
  <si>
    <t>AGUS SUHERMAN</t>
  </si>
  <si>
    <t>YUSTI HAMBASARI</t>
  </si>
  <si>
    <t>ROCHILI</t>
  </si>
  <si>
    <t>HARYANTO</t>
  </si>
  <si>
    <t>AMBRIZAL</t>
  </si>
  <si>
    <t>MAHRUS</t>
  </si>
  <si>
    <t>SASONGKO</t>
  </si>
  <si>
    <t>SRI FITRIANA DWI CHRISTIANI</t>
  </si>
  <si>
    <t>SANDRA ARMENTINA</t>
  </si>
  <si>
    <t>SETIYOWATI</t>
  </si>
  <si>
    <t>AZWAR RAMDAN SAPUTRA</t>
  </si>
  <si>
    <t>DIKI MAULANA JUNIAR</t>
  </si>
  <si>
    <t>SAFIRA APRIANI</t>
  </si>
  <si>
    <t>MUHAMMAD ROFI NUR</t>
  </si>
  <si>
    <t>IRFAN SYAPUTRA</t>
  </si>
  <si>
    <t>SEPTI DINAR AZZAHRA</t>
  </si>
  <si>
    <t>REISAR MUHAMMAD AKBAR ANBIYA</t>
  </si>
  <si>
    <t>ANDINI ABILA</t>
  </si>
  <si>
    <t>RUT YUMINA MELINDA ISU</t>
  </si>
  <si>
    <t>OFIE OKTAVIANI</t>
  </si>
  <si>
    <t>HAFIDH AL ABAS</t>
  </si>
  <si>
    <t>RIZKIA ATTIYA RACHMAN</t>
  </si>
  <si>
    <t>AL DIO NDARU AL FARHAN</t>
  </si>
  <si>
    <t>NURKHOLID</t>
  </si>
  <si>
    <t>FAHRI FADILLAH</t>
  </si>
  <si>
    <t>INDAH NURCAHYATI</t>
  </si>
  <si>
    <t>ADE BAHAR AGUSTINUS</t>
  </si>
  <si>
    <t>KANISIUS JEBATUNG</t>
  </si>
  <si>
    <t>YOHANES HERRY WAHONO</t>
  </si>
  <si>
    <t>ATUT NUGROHO</t>
  </si>
  <si>
    <t>AGUS PULAMBAR</t>
  </si>
  <si>
    <t>HAIRUL UMAMI</t>
  </si>
  <si>
    <t>DEWI RACHMAWATI</t>
  </si>
  <si>
    <t>RIZKI NANDA PRAYUDA</t>
  </si>
  <si>
    <t>REKA NOVIYANTI</t>
  </si>
  <si>
    <t>ELISABETH RETNO HERIASTUTI</t>
  </si>
  <si>
    <t>R KUSSUDIYANTO</t>
  </si>
  <si>
    <t>ALPIANSYAH</t>
  </si>
  <si>
    <t>ANNIS SHOLEHA</t>
  </si>
  <si>
    <t>SULTAN PUTRA ARDIANSYAH</t>
  </si>
  <si>
    <t>MUHAMMAD ROHMAN SETIAWAN</t>
  </si>
  <si>
    <t>SIH ADZIRA FRISANIA</t>
  </si>
  <si>
    <t>MUHAMMAD NABIL</t>
  </si>
  <si>
    <t>INDRI NUR OKTAVIA</t>
  </si>
  <si>
    <t>MOCH RAFLY ALFARIZI</t>
  </si>
  <si>
    <t>RAHMAD FAHRI</t>
  </si>
  <si>
    <t>CANDRA RAHMANSYAH</t>
  </si>
  <si>
    <t>JONATHAN ARIO DEWANGGA</t>
  </si>
  <si>
    <t>MUHAMMAD NAUFAL ADHADITAMA</t>
  </si>
  <si>
    <t>SITI VIRGINIA CANDRADEWI</t>
  </si>
  <si>
    <t>EKO SUPRIYANTO</t>
  </si>
  <si>
    <t>INDRIYANI SUSILOWATI</t>
  </si>
  <si>
    <t>TRI WULANDARI</t>
  </si>
  <si>
    <t>ADITYA DANU SAPUTRA</t>
  </si>
  <si>
    <t>SUKARNA</t>
  </si>
  <si>
    <t>SAUSAN NAILAH</t>
  </si>
  <si>
    <t>DEVINA SAINTIKA AZALIA</t>
  </si>
  <si>
    <t>AVRIL RACHEL EVE GULTOM</t>
  </si>
  <si>
    <t>DEBY QUR AINI</t>
  </si>
  <si>
    <t>ROSALINA BR PASARIBU</t>
  </si>
  <si>
    <t>SAYYIDAH AFINA SALSABILA NST</t>
  </si>
  <si>
    <t>YUSUF MAHMUD</t>
  </si>
  <si>
    <t>GAMALIEL RAHMAT P</t>
  </si>
  <si>
    <t>JHONATAN SEBASTIAN TAMBUN</t>
  </si>
  <si>
    <t>MUHAMMAD FARREL RAHMAT HRP</t>
  </si>
  <si>
    <t>TAUFIK ISMAIL</t>
  </si>
  <si>
    <t>TEOH VALLEN CATERONI</t>
  </si>
  <si>
    <t>SASTA</t>
  </si>
  <si>
    <t>ALYA AZ-ZAHRA</t>
  </si>
  <si>
    <t>RASELI TABITA</t>
  </si>
  <si>
    <t>SYIFANA AULYA</t>
  </si>
  <si>
    <t>GADIS ODRA AJURAH</t>
  </si>
  <si>
    <t>MEGA</t>
  </si>
  <si>
    <t>MAULIDA MAHFUZHATUL ASHUDI</t>
  </si>
  <si>
    <t>CORNELIA KAYLEEN NADINE</t>
  </si>
  <si>
    <t>KHOEROTUN NAJWA</t>
  </si>
  <si>
    <t>NURIL FADHILLAH</t>
  </si>
  <si>
    <t>MUHAMAD REZA CHAERUL FALAH</t>
  </si>
  <si>
    <t>YANIK KRISTANTI</t>
  </si>
  <si>
    <t>IGNATIUS EDI SULISTYONO SPD</t>
  </si>
  <si>
    <t>MUHLIONO</t>
  </si>
  <si>
    <t>FREDERICUS IRAWAN BUDIRAHARJO</t>
  </si>
  <si>
    <t>GAME SUPRIADI JUKSON L</t>
  </si>
  <si>
    <t>JULIHANSYAH</t>
  </si>
  <si>
    <t>AZZAM ABDUL JABBAR</t>
  </si>
  <si>
    <t>HERMAN MUHAMMAD ALPARIYANTO</t>
  </si>
  <si>
    <t>ALIEFHIA ANANDA</t>
  </si>
  <si>
    <t>ALDITIA RAHMAN</t>
  </si>
  <si>
    <t>SUKMA WIDIA NINGSIH</t>
  </si>
  <si>
    <t>NABILLA SYAFIRA</t>
  </si>
  <si>
    <t>JAENUDIN AZET</t>
  </si>
  <si>
    <t>MIRA RAHMAWATI</t>
  </si>
  <si>
    <t>IBNU BASTIAN NUR DWI CAHYO</t>
  </si>
  <si>
    <t>ANDRIAN SAPUTRA</t>
  </si>
  <si>
    <t>RIZKY DARMAWAN</t>
  </si>
  <si>
    <t>MUHAMMAD CAVIN WIBRANANTA</t>
  </si>
  <si>
    <t>CATHERINNE ALLAN</t>
  </si>
  <si>
    <t>FAHMI AL MAAHI BIN BAHARIAWAN</t>
  </si>
  <si>
    <t>AKIAUNA</t>
  </si>
  <si>
    <t>NURLIANDA FAUNIKA</t>
  </si>
  <si>
    <t>ELLA APRILIANI</t>
  </si>
  <si>
    <t>ANTA MAULANA SITAKAR</t>
  </si>
  <si>
    <t>WULAN PURNAMA SARI SIMATUPANG</t>
  </si>
  <si>
    <t>JUANDA FATHIR MUHAMMAD</t>
  </si>
  <si>
    <t>FRIANSYAH BUDIMAN IMANULLAH</t>
  </si>
  <si>
    <t>WIDI SUSANTO</t>
  </si>
  <si>
    <t>YOHANES GALIH ARI PINUNDHI</t>
  </si>
  <si>
    <t>NATALIA MARBUN</t>
  </si>
  <si>
    <t>OKTAVIN ARNANDA DEVA</t>
  </si>
  <si>
    <t>YULYA SASTIANI SIREGAR</t>
  </si>
  <si>
    <t>M KEVIN</t>
  </si>
  <si>
    <t>RICKY TAN</t>
  </si>
  <si>
    <t>FAREL SEVEN OKTORIDHO</t>
  </si>
  <si>
    <t>RADJA RADO BRAHMANA</t>
  </si>
  <si>
    <t>MOCH IQBAL ALGHIFARI</t>
  </si>
  <si>
    <t>IRGI FEBRIAN MAULANA</t>
  </si>
  <si>
    <t>BAGAS ALIANSYAH</t>
  </si>
  <si>
    <t>ABI YUSUF SHOLAHUDIN</t>
  </si>
  <si>
    <t>SHIFA ALFIANY</t>
  </si>
  <si>
    <t>ZAMZAMI ARAFAT</t>
  </si>
  <si>
    <t>RIO LAKSAMANA SUKMA DAUD</t>
  </si>
  <si>
    <t>VAURA AZHARA</t>
  </si>
  <si>
    <t>LILIS NUR APRILIANI</t>
  </si>
  <si>
    <t>ROSO</t>
  </si>
  <si>
    <t>YOHANES NGATIMIN</t>
  </si>
  <si>
    <t>FX SUTONO</t>
  </si>
  <si>
    <t>AZHARI</t>
  </si>
  <si>
    <t>SAEFUDIN</t>
  </si>
  <si>
    <t>YOHANES KELIK DWI NUGROHO</t>
  </si>
  <si>
    <t>NI NYOMAN MULIARI</t>
  </si>
  <si>
    <t>VIRGO TRI PRIANTO</t>
  </si>
  <si>
    <t>MARIANO KLAUDIUS CASA ULU WANGGE</t>
  </si>
  <si>
    <t>BERNARDUS TRI SANTOSO</t>
  </si>
  <si>
    <t>ANDREAS ANTON PRIYAMBODO</t>
  </si>
  <si>
    <t>ANDRE JUNIOR</t>
  </si>
  <si>
    <t>LASYA ZULEYKA ARJUNI</t>
  </si>
  <si>
    <t>NURUL ALZAHRA</t>
  </si>
  <si>
    <t>AIDA CAHYA TRISTANTI</t>
  </si>
  <si>
    <t>SITI AISYAH</t>
  </si>
  <si>
    <t>SINDIYANI</t>
  </si>
  <si>
    <t>LAZI ROMADONA</t>
  </si>
  <si>
    <t>ANITA NURSAH LINDA</t>
  </si>
  <si>
    <t>RAMADIA RINALDI</t>
  </si>
  <si>
    <t>DEWA TIUNTUMENA GANARI</t>
  </si>
  <si>
    <t>MUHAMMAD AFIF NUR RACHMAN</t>
  </si>
  <si>
    <t>DEDY REYNOLD</t>
  </si>
  <si>
    <t>P RUDI HENDARTO</t>
  </si>
  <si>
    <t>SRI YUNIARTI</t>
  </si>
  <si>
    <t>HERU SETIAWAN</t>
  </si>
  <si>
    <t>LEONARDUS BUDI SUSILO</t>
  </si>
  <si>
    <t>RANI TISIA PUTRI</t>
  </si>
  <si>
    <t>NYOMAN GEDE VICKY RISMA JAYA</t>
  </si>
  <si>
    <t>FITRA AKBAR LIANTO</t>
  </si>
  <si>
    <t>SOFYAN SALEH</t>
  </si>
  <si>
    <t>MARCHEILLA DAMAYANTI HERMAWAN</t>
  </si>
  <si>
    <t>DIMAS KUSUMA ATMAJA</t>
  </si>
  <si>
    <t>JIHAN SEPTA DINATA</t>
  </si>
  <si>
    <t>AZWA KARMILA</t>
  </si>
  <si>
    <t>WANDA DWI ANJANI</t>
  </si>
  <si>
    <t>MOHAMMAD ALFA REZA</t>
  </si>
  <si>
    <t>ILHAM SUGANDA</t>
  </si>
  <si>
    <t>RICKY MAULANA SAPUTRA</t>
  </si>
  <si>
    <t>HILALUDIN AKBAR</t>
  </si>
  <si>
    <t>BASTIAN PAHLEVI</t>
  </si>
  <si>
    <t>ROIS WUZARO</t>
  </si>
  <si>
    <t>NYOMAN KERTI</t>
  </si>
  <si>
    <t>TERESIA BUDI WINARNI</t>
  </si>
  <si>
    <t>SUHARYANTO</t>
  </si>
  <si>
    <t>BADIA BERNARDUS TARIGAN</t>
  </si>
  <si>
    <t>JOSWA SAHAT M SILALAHI</t>
  </si>
  <si>
    <t>TRI ARYA PUTRA</t>
  </si>
  <si>
    <t>CONNY OCTAVIANI</t>
  </si>
  <si>
    <t>MUHAMMAD RAHADIAN  ABDILLAH</t>
  </si>
  <si>
    <t>SINTIA</t>
  </si>
  <si>
    <t>DEA TRESIANA</t>
  </si>
  <si>
    <t>FADHILLAH SEKAR RAHAYU</t>
  </si>
  <si>
    <t>RIDWAN AFANDI</t>
  </si>
  <si>
    <t>MUHAMMAD ADRI</t>
  </si>
  <si>
    <t>SYIFA LIANDRI</t>
  </si>
  <si>
    <t>OVI JULIA</t>
  </si>
  <si>
    <t>POPI PEPMALISA</t>
  </si>
  <si>
    <t>ADIL NASDI FAUZAN</t>
  </si>
  <si>
    <t>YULI ALISIA WARDANI</t>
  </si>
  <si>
    <t>AGUNG KAFKHA RAMADHAN</t>
  </si>
  <si>
    <t>FARHAN SAHIDA</t>
  </si>
  <si>
    <t>ALIM RAHMAT PUTRA</t>
  </si>
  <si>
    <t>SISILIA LIDIYAWATI</t>
  </si>
  <si>
    <t>RATNA DEWI</t>
  </si>
  <si>
    <t>RIWANTORO</t>
  </si>
  <si>
    <t>AFRINALDI</t>
  </si>
  <si>
    <t>DONNY RESTUADI</t>
  </si>
  <si>
    <t>MARTIN SIREGAR</t>
  </si>
  <si>
    <t>WAHYU WIRA YUDHA</t>
  </si>
  <si>
    <t>LEIDIS DWI ZAHRA</t>
  </si>
  <si>
    <t>ILMI DINIAWATI</t>
  </si>
  <si>
    <t>YEREMIA HENRY PUJIANTORO</t>
  </si>
  <si>
    <t>ACHMAD HABIBIE</t>
  </si>
  <si>
    <t>MUHAMMAD FAUZAN ATHA ZAKIYA</t>
  </si>
  <si>
    <t>NIA ARLIANI</t>
  </si>
  <si>
    <t>YAZID ABDU RACHMAN</t>
  </si>
  <si>
    <t>DYAH AYU WULANDARI</t>
  </si>
  <si>
    <t>SAFRIYAN GAYO</t>
  </si>
  <si>
    <t>NAYLA INDRIA RIVANI</t>
  </si>
  <si>
    <t>SUCI RAHMAWATI</t>
  </si>
  <si>
    <t>NAMIRA TASYA SAFUTRI</t>
  </si>
  <si>
    <t>MUHAMMAD MARSEL SAILENDRA</t>
  </si>
  <si>
    <t>NABILA RAHMADANI</t>
  </si>
  <si>
    <t>AULIA RAHAYU SWARA</t>
  </si>
  <si>
    <t>ARFIORISKA</t>
  </si>
  <si>
    <t>QISTY AULIA</t>
  </si>
  <si>
    <t>LILIS SUGANDA BR MANALU</t>
  </si>
  <si>
    <t>MOHD FADLI</t>
  </si>
  <si>
    <t>MEILISA</t>
  </si>
  <si>
    <t>TEGUH SUARDI</t>
  </si>
  <si>
    <t>SOVIANA RESTI</t>
  </si>
  <si>
    <t>NATANIEL SALEMBE</t>
  </si>
  <si>
    <t>NENGSI MAIROMA</t>
  </si>
  <si>
    <t>YULIATI</t>
  </si>
  <si>
    <t>AGUS SAKHINUDIN</t>
  </si>
  <si>
    <t>TIURMA CHRISTINA</t>
  </si>
  <si>
    <t>ANDRY MURYADI</t>
  </si>
  <si>
    <t>HANTUSTUA SIMATUPANG</t>
  </si>
  <si>
    <t>SRI HARTATI SILABAN</t>
  </si>
  <si>
    <t>NOVA ADITIYA LESTARI</t>
  </si>
  <si>
    <t>SUCI PERMATASARI</t>
  </si>
  <si>
    <t>SALWA RAHMA AGUSTIA</t>
  </si>
  <si>
    <t>MUHAMMAD ZACKHI</t>
  </si>
  <si>
    <t>MUHAMMAD FATTHAH ARROZAK</t>
  </si>
  <si>
    <t>VRETI RAHMADANI</t>
  </si>
  <si>
    <t>OCA FAZIRA RAMADHAN</t>
  </si>
  <si>
    <t>HANDA PUTRA MAIZA</t>
  </si>
  <si>
    <t>FADHIL AFRIANZA</t>
  </si>
  <si>
    <t>ARNOLD JEFFERSON SIMORANGKIR</t>
  </si>
  <si>
    <t>REYHAN SENDIFA</t>
  </si>
  <si>
    <t>HADIID AL FATTAH</t>
  </si>
  <si>
    <t>HENDRY SANTIAGO</t>
  </si>
  <si>
    <t>RITA MUSFIA</t>
  </si>
  <si>
    <t>LUSIANA ENIKE</t>
  </si>
  <si>
    <t>ELTA ISMI</t>
  </si>
  <si>
    <t>FERDY FIRMANSYAH</t>
  </si>
  <si>
    <t>BASTIAN PERMANA</t>
  </si>
  <si>
    <t>BELLA ARIANTI</t>
  </si>
  <si>
    <t>REYHAN TRI ANANDA PUTRA</t>
  </si>
  <si>
    <t>ALDI MIFTAHURRAHMAN</t>
  </si>
  <si>
    <t>SYAKILA AZZAHRA</t>
  </si>
  <si>
    <t>MOHAMMAD RAFIADI</t>
  </si>
  <si>
    <t>INDAH AFIFAH</t>
  </si>
  <si>
    <t>MUHAMMAD FAISHAL ABDILLAH</t>
  </si>
  <si>
    <t>ROSA MELIANA TAMPUBOLON</t>
  </si>
  <si>
    <t>VINA AGUSTIN</t>
  </si>
  <si>
    <t>YASID WISMAWAN</t>
  </si>
  <si>
    <t>WIJIARTI</t>
  </si>
  <si>
    <t>SUGENG RIYADI</t>
  </si>
  <si>
    <t>MUHAMAD SUBHAN</t>
  </si>
  <si>
    <t>ROCHANI</t>
  </si>
  <si>
    <t>MOH SAEROZI</t>
  </si>
  <si>
    <t>DIAH JULIATI SH</t>
  </si>
  <si>
    <t>RIZKI NOVIANTO</t>
  </si>
  <si>
    <t>FERRY FERDIAN</t>
  </si>
  <si>
    <t>EVA WULANDARI</t>
  </si>
  <si>
    <t>DIERDRA EMMANUELLA AUDRINANTIKA JOBENCH</t>
  </si>
  <si>
    <t>NAYLA RIFA NABILAH</t>
  </si>
  <si>
    <t>ARIS PERMANA</t>
  </si>
  <si>
    <t>RENDI RAMADHAN</t>
  </si>
  <si>
    <t>RISKY ANDRIANSYAH</t>
  </si>
  <si>
    <t>APRILIA AYU SUSANTI</t>
  </si>
  <si>
    <t>VIKA RAHMAN</t>
  </si>
  <si>
    <t>AISYA LIFTA FARDZIATI</t>
  </si>
  <si>
    <t>MUSLIH</t>
  </si>
  <si>
    <t>STEFANUS EKO SULISTYANTO</t>
  </si>
  <si>
    <t>SUMPENI</t>
  </si>
  <si>
    <t>IGNATIUS SUBROTO</t>
  </si>
  <si>
    <t>ANASTASIA LIS HERMAWATI</t>
  </si>
  <si>
    <t>CARILAH</t>
  </si>
  <si>
    <t>EKO PUTRA PAMBAGYO</t>
  </si>
  <si>
    <t>GETFI FEBSINTA</t>
  </si>
  <si>
    <t>EGHA LYANUARI</t>
  </si>
  <si>
    <t>NURUL KAHFI</t>
  </si>
  <si>
    <t>VANESHA OKTA FIANTI</t>
  </si>
  <si>
    <t>AHMAD SYAROFI</t>
  </si>
  <si>
    <t>AURA SUCI ANDINI</t>
  </si>
  <si>
    <t>SHINTYA STEVHANIE PRYADI</t>
  </si>
  <si>
    <t>BAGUS KURNIAWAN</t>
  </si>
  <si>
    <t>NICKY FITRIYANTI</t>
  </si>
  <si>
    <t>FEBRIYANA PRATAMA</t>
  </si>
  <si>
    <t>SITI HUMAEROH</t>
  </si>
  <si>
    <t>SUKRI YUSMAN</t>
  </si>
  <si>
    <t>ELIZABETH DRIEMIRDA PRIMASARI</t>
  </si>
  <si>
    <t>PURWANTO</t>
  </si>
  <si>
    <t>FX SIGIT ARIBOWO</t>
  </si>
  <si>
    <t>SIPIT PRIYANTORO</t>
  </si>
  <si>
    <t>YOHANES USMAN</t>
  </si>
  <si>
    <t>EMANUEL AGUS SUSILO</t>
  </si>
  <si>
    <t>ABDI PANDAPOTAN NASUTION</t>
  </si>
  <si>
    <t>DODDY EKA MARYONO</t>
  </si>
  <si>
    <t>AGUS PURNOMO</t>
  </si>
  <si>
    <t>MEDI ARYADI</t>
  </si>
  <si>
    <t>NISYWA SARTIKA</t>
  </si>
  <si>
    <t>AZIZAH ASSAINAR</t>
  </si>
  <si>
    <t>MARSHANDA DWILIAN AGUSTIN</t>
  </si>
  <si>
    <t>TIARA NUSANTARANI</t>
  </si>
  <si>
    <t>ALIEF ARDILES</t>
  </si>
  <si>
    <t>ARYA REXA RAMDHANA</t>
  </si>
  <si>
    <t>AHMAD FAJAR</t>
  </si>
  <si>
    <t>REZA SAEPULOH</t>
  </si>
  <si>
    <t>MAYLANI ANGELINA SIMANUNGKALIT</t>
  </si>
  <si>
    <t>TEDDY APRILIANTO THOMAS</t>
  </si>
  <si>
    <t>MEISHINTO NAGARI</t>
  </si>
  <si>
    <t>VENTRI YUNITA</t>
  </si>
  <si>
    <t>UNGGUL KUATNO</t>
  </si>
  <si>
    <t>AZFA NIZAR RAMADHAN</t>
  </si>
  <si>
    <t>SYARINA</t>
  </si>
  <si>
    <t>CINTA KAILA SHAFA HASYURAH</t>
  </si>
  <si>
    <t>FAYVELL DERRYL MANOPO</t>
  </si>
  <si>
    <t>AGUS SUKARSA</t>
  </si>
  <si>
    <t>PUJI SAFIRA</t>
  </si>
  <si>
    <t>ANDHIKA DWI RAMADHAN</t>
  </si>
  <si>
    <t>DENY RAMADHAN PRASETYO</t>
  </si>
  <si>
    <t>SAMUELI ZEGA</t>
  </si>
  <si>
    <t>MUH IQBAL KHAEDAR</t>
  </si>
  <si>
    <t>NUR ATIQAH</t>
  </si>
  <si>
    <t>YULIA GERALDINE HASIANA S</t>
  </si>
  <si>
    <t>MUHAMMAD RIFKI JIDANE</t>
  </si>
  <si>
    <t>MUHAMMAD DENDI PRATAMA</t>
  </si>
  <si>
    <t>ALFIANA ALAM</t>
  </si>
  <si>
    <t>JORDANIUS TIMANG</t>
  </si>
  <si>
    <t>NURFADIA</t>
  </si>
  <si>
    <t>FIKA AULIPINA</t>
  </si>
  <si>
    <t>RAYNANDA SETIA PUTRA</t>
  </si>
  <si>
    <t>NASIR RABA</t>
  </si>
  <si>
    <t>KHUZAIMAH JAHSY</t>
  </si>
  <si>
    <t>PARIS</t>
  </si>
  <si>
    <t>NASYWAA ASSYIFA RAIDAH</t>
  </si>
  <si>
    <t>RANTI JULKIFLI</t>
  </si>
  <si>
    <t>MUHAMMAD RIZAL</t>
  </si>
  <si>
    <t>FADILLA NIZA NURMALA</t>
  </si>
  <si>
    <t>PRASASTIO</t>
  </si>
  <si>
    <t>RIZKI JUNIARDI</t>
  </si>
  <si>
    <t>WELA MEISYA PUTRI</t>
  </si>
  <si>
    <t>CELARISA FURI CHINTIA</t>
  </si>
  <si>
    <t>ALFAZA</t>
  </si>
  <si>
    <t>SITI ANGGUN MARDIANTI</t>
  </si>
  <si>
    <t>SRI SARTIKA</t>
  </si>
  <si>
    <t>SAK ON</t>
  </si>
  <si>
    <t>BAYU TRI KRISTIANTO</t>
  </si>
  <si>
    <t>YADI</t>
  </si>
  <si>
    <t>HARMOKO</t>
  </si>
  <si>
    <t>ANGGIARA BACHARI</t>
  </si>
  <si>
    <t>BUDI</t>
  </si>
  <si>
    <t>APRILIANA</t>
  </si>
  <si>
    <t>YUFRISKA EFRISKA DEAKA</t>
  </si>
  <si>
    <t>DAVA RIZKI AULIA</t>
  </si>
  <si>
    <t>SHELLO TITI NISA A ARYANTO</t>
  </si>
  <si>
    <t>GEA AFRISKA</t>
  </si>
  <si>
    <t>BILI YUPILE HAJIPATAMA</t>
  </si>
  <si>
    <t>NOVENTRISUCI ANGGRAENI</t>
  </si>
  <si>
    <t>MARVIOLA DWI KIRNOWATI</t>
  </si>
  <si>
    <t>SITI NURLAILA WAROHMAH</t>
  </si>
  <si>
    <t>ZEVIRA SAKINAH</t>
  </si>
  <si>
    <t>RINA SAFITRI</t>
  </si>
  <si>
    <t>FARIZ OKY MAHENDRA</t>
  </si>
  <si>
    <t>TAUFIQ HIDAYAT</t>
  </si>
  <si>
    <t>WULAN RAHMANIA PUTRI NINGSIH</t>
  </si>
  <si>
    <t>RIO ADITYA</t>
  </si>
  <si>
    <t>LISYA FELANI</t>
  </si>
  <si>
    <t>FITRIYANI N</t>
  </si>
  <si>
    <t>RESKA NESPANDELA</t>
  </si>
  <si>
    <t>REHAN RAMADHANI</t>
  </si>
  <si>
    <t>SETO ABDI NUGROHO</t>
  </si>
  <si>
    <t>ECHI ADISTA</t>
  </si>
  <si>
    <t>HARRI SILABAN</t>
  </si>
  <si>
    <t>UMI UMAYAH</t>
  </si>
  <si>
    <t>ABDURRAHMANSYAH</t>
  </si>
  <si>
    <t>ANDHIKA MAHAPUTRA</t>
  </si>
  <si>
    <t>DEA OKTA SARI</t>
  </si>
  <si>
    <t>JULIA RESA LINDA</t>
  </si>
  <si>
    <t>NABILA DESALSA UTAMI PRATIWI</t>
  </si>
  <si>
    <t>AUDRY CITRA LESTARI</t>
  </si>
  <si>
    <t>NAJWA SHOFIATUL FATIHA</t>
  </si>
  <si>
    <t>NABHYL ARAS  RHAMADHANY</t>
  </si>
  <si>
    <t>KHAIRINA NABILAH</t>
  </si>
  <si>
    <t>UMAR MUHTAR</t>
  </si>
  <si>
    <t>ADILA RAHMADANI</t>
  </si>
  <si>
    <t>ALVEN</t>
  </si>
  <si>
    <t>DIANA SEVIA MULYANA</t>
  </si>
  <si>
    <t>NAYLA REVAJULIA</t>
  </si>
  <si>
    <t>RAFI KHOIRULLOH</t>
  </si>
  <si>
    <t>TIARA MULYANTI</t>
  </si>
  <si>
    <t>MOHAMMAD FADILLAH</t>
  </si>
  <si>
    <t>RIZKA LIANA</t>
  </si>
  <si>
    <t>FITHROTURROHMAH</t>
  </si>
  <si>
    <t>RIFQY DWIANDRA WIBOWO</t>
  </si>
  <si>
    <t>VONY</t>
  </si>
  <si>
    <t>FAQIH IYAD ALAWI</t>
  </si>
  <si>
    <t>RATNILIS</t>
  </si>
  <si>
    <t>MUSLIM</t>
  </si>
  <si>
    <t>YOSEPH DALUDI</t>
  </si>
  <si>
    <t>EMANUEL SUDIYONO WIDODO</t>
  </si>
  <si>
    <t>RIRI RUSLI</t>
  </si>
  <si>
    <t>IMAM MAKRUB</t>
  </si>
  <si>
    <t>ILHAM AMIRUL HUDA</t>
  </si>
  <si>
    <t>MUHAMMAD HABIL SHAHIZINDAN</t>
  </si>
  <si>
    <t>BAGAS APRIANSYAH</t>
  </si>
  <si>
    <t>HARITS ALFARISI GUNAWAN</t>
  </si>
  <si>
    <t>AMBAR ARUM WIJAYANTI</t>
  </si>
  <si>
    <t>MUHAMMAD FILDZA ADITYA PRAMANA</t>
  </si>
  <si>
    <t>LUTHFI SEPTIANI NUR FADHILLAH</t>
  </si>
  <si>
    <t>MUHAMMAD IRVAN</t>
  </si>
  <si>
    <t>SHELAMITA REYSA LESTARI</t>
  </si>
  <si>
    <t>INDRI AMELISA</t>
  </si>
  <si>
    <t>RIZKI FAJARUDIN</t>
  </si>
  <si>
    <t>M RAFLY MAHAPUTRA SYAWAL</t>
  </si>
  <si>
    <t>NABILA RAMADHANI</t>
  </si>
  <si>
    <t>WISNU NUGROHO</t>
  </si>
  <si>
    <t>FAIZAL ARYA HERNANDA</t>
  </si>
  <si>
    <t>MUHAMMAD ALIFIA ALFAREZA</t>
  </si>
  <si>
    <t>HIJRAN MAHJURA</t>
  </si>
  <si>
    <t>MUHAMAD INDRA BHAKTI</t>
  </si>
  <si>
    <t>HAMIDA SUKMAWATI</t>
  </si>
  <si>
    <t>NURUL RIZKIA</t>
  </si>
  <si>
    <t>RIZKY CHOIRUN NIZA</t>
  </si>
  <si>
    <t>MARJOKO</t>
  </si>
  <si>
    <t>NILA KRISTINA</t>
  </si>
  <si>
    <t>SUGINO</t>
  </si>
  <si>
    <t>LILIS ROHAYATI</t>
  </si>
  <si>
    <t>KUSNADI</t>
  </si>
  <si>
    <t>ROSLAN</t>
  </si>
  <si>
    <t>SUMARNI</t>
  </si>
  <si>
    <t>ANGGREK PUSPITA SARI</t>
  </si>
  <si>
    <t>MUHAMMAD RIFAT HAKIM</t>
  </si>
  <si>
    <t>ALBERT KRISTIAN SANTOSO</t>
  </si>
  <si>
    <t>MUHAMMAD SHABRIAN</t>
  </si>
  <si>
    <t>YOGI MEIDIYANTO</t>
  </si>
  <si>
    <t>YULFI TARA ANGGUN TYAS</t>
  </si>
  <si>
    <t>DIAH FITRIYANI</t>
  </si>
  <si>
    <t>KHOERUMAN AZZAM</t>
  </si>
  <si>
    <t>LEGINA FEFRIYUSI SUDRAJAT</t>
  </si>
  <si>
    <t>NURLAILA RAMADHANTI</t>
  </si>
  <si>
    <t>DWI FALDIANSYAH</t>
  </si>
  <si>
    <t>NISSA JESSICA SIMATUPANG</t>
  </si>
  <si>
    <t>MUHAMMAD ALBRIAN</t>
  </si>
  <si>
    <t>ALBIS ALBAYANI</t>
  </si>
  <si>
    <t>YUDI PRAWIRA</t>
  </si>
  <si>
    <t>SAPII MUNANDAR</t>
  </si>
  <si>
    <t>AMALIA ANNISATUROHMAH</t>
  </si>
  <si>
    <t>AZKA HABIBI</t>
  </si>
  <si>
    <t>MUHAMAD RIZKI</t>
  </si>
  <si>
    <t>LEONARDUS ANDREW PRAMONO</t>
  </si>
  <si>
    <t>FRANSISCA OLIVIA SEKAR MELATI</t>
  </si>
  <si>
    <t>ISMAIL</t>
  </si>
  <si>
    <t>BAMBANG SUPRIYANTO</t>
  </si>
  <si>
    <t>UDIN AGUS PRAYITNO</t>
  </si>
  <si>
    <t>DEDI</t>
  </si>
  <si>
    <t>AJI BUDIANTO</t>
  </si>
  <si>
    <t>RESTU BUNDA SEPHIA</t>
  </si>
  <si>
    <t>ANDYNI DEWI LESTARI</t>
  </si>
  <si>
    <t>MUHAMAD RAFLI ALBANIH</t>
  </si>
  <si>
    <t>RATU MONIKA R</t>
  </si>
  <si>
    <t>MUHAMMAD DIMAS JECTIO</t>
  </si>
  <si>
    <t>DEVRI ANAND ALHADID</t>
  </si>
  <si>
    <t>NADINE APRILIA</t>
  </si>
  <si>
    <t>SHOLACHUDIN</t>
  </si>
  <si>
    <t>OKTAVIANA</t>
  </si>
  <si>
    <t>SYAHRUL NOVALDIANTO</t>
  </si>
  <si>
    <t>ARIANA KARTIKA CHANDRA</t>
  </si>
  <si>
    <t>CINTA MAHARANI</t>
  </si>
  <si>
    <t>TUBAGUS RAYYA KHALID GIBRAN</t>
  </si>
  <si>
    <t>AKHMAD FAUZUDIN</t>
  </si>
  <si>
    <t>NURBIANTO</t>
  </si>
  <si>
    <t>FABIANUS FEBRIANTO HUDONO</t>
  </si>
  <si>
    <t>RAHMAT WIDAYAT</t>
  </si>
  <si>
    <t>SEPTRIAN</t>
  </si>
  <si>
    <t>EDISON</t>
  </si>
  <si>
    <t>ERNA ARYA RAFTIA</t>
  </si>
  <si>
    <t>RAJA RILLA NOPRIARDIASYAH</t>
  </si>
  <si>
    <t>KHAIGIMI ICHSAN</t>
  </si>
  <si>
    <t>TRIBUANA MESWARI</t>
  </si>
  <si>
    <t>LOLA ALAWIYAH PUTRI</t>
  </si>
  <si>
    <t>BRIGITHA AGUSTIN RINDU</t>
  </si>
  <si>
    <t>RIFKI ZAIN</t>
  </si>
  <si>
    <t>FARIZ FIRNANDA</t>
  </si>
  <si>
    <t>SALWA JULY ANDINI</t>
  </si>
  <si>
    <t>RENI AGUSTININGSIH</t>
  </si>
  <si>
    <t>PANCA DEWINTA PRIMANTI</t>
  </si>
  <si>
    <t>BELEN AMANDA SITANGGANG</t>
  </si>
  <si>
    <t>LYDIA KAMALA SEKARNINGRUM MARPAUNG</t>
  </si>
  <si>
    <t>NAUFAL RHYO ICHWANDA</t>
  </si>
  <si>
    <t>MUHAMAD IKHLAS ALFARIDZI</t>
  </si>
  <si>
    <t>SHANYA PUTRI FAIZIAH PRIBADI S</t>
  </si>
  <si>
    <t>FAJAR HANIF MUBAROK</t>
  </si>
  <si>
    <t>I WAYAN DYOTA PARAHITA</t>
  </si>
  <si>
    <t>ANDYNI SAFFANAH PUTRI</t>
  </si>
  <si>
    <t>RACHMAD HIDAYATULLAH</t>
  </si>
  <si>
    <t>ISNANING YUBAIDAH</t>
  </si>
  <si>
    <t>ANDY WALUYA</t>
  </si>
  <si>
    <t>DAVID DWI PRASETYO</t>
  </si>
  <si>
    <t>TITIK SRIHARTATIK</t>
  </si>
  <si>
    <t>SERLIE STEPHANIE</t>
  </si>
  <si>
    <t>PUTRI ROSA ADANI</t>
  </si>
  <si>
    <t>RAYMOND WIDJAJA</t>
  </si>
  <si>
    <t>SOFI ALFIATUZAHRO</t>
  </si>
  <si>
    <t>TIARA AYU ADZANI</t>
  </si>
  <si>
    <t>NAURAH AFTRI NABILAH</t>
  </si>
  <si>
    <t>RM ANDREAN SAPUTRA</t>
  </si>
  <si>
    <t>SABRINA</t>
  </si>
  <si>
    <t>M ADNAN SALASA</t>
  </si>
  <si>
    <t>ADELIA</t>
  </si>
  <si>
    <t>BRENDA LIEONY</t>
  </si>
  <si>
    <t>AUDRI PUTRI RISPANI</t>
  </si>
  <si>
    <t>DEWANI RAHMA SAVITRI</t>
  </si>
  <si>
    <t>DWI ANANDA</t>
  </si>
  <si>
    <t>IRA RAHMAHFIRA</t>
  </si>
  <si>
    <t>HAFIZIA NANDA AUDIAN</t>
  </si>
  <si>
    <t>FAIDIL ILHAM</t>
  </si>
  <si>
    <t>YUSUF AKHLUN NAZAR</t>
  </si>
  <si>
    <t>YUNIAR SIMANUNGKALIT</t>
  </si>
  <si>
    <t>SUMERI</t>
  </si>
  <si>
    <t>EVA YUNINGSIH</t>
  </si>
  <si>
    <t>RONY CHRISTANTO</t>
  </si>
  <si>
    <t>AISYAH DARMAYANTI</t>
  </si>
  <si>
    <t>NOVIA FITRIANA</t>
  </si>
  <si>
    <t>ANDINI DWI PUTRI</t>
  </si>
  <si>
    <t>THERESIA SABRINA RONAULI HUTABARAT</t>
  </si>
  <si>
    <t>AULIA LIDIANY PUTRI</t>
  </si>
  <si>
    <t>ELBA HANDAYANI</t>
  </si>
  <si>
    <t>ANGGRAINI</t>
  </si>
  <si>
    <t>LISA MARLINI</t>
  </si>
  <si>
    <t>ALDA JULIA NURMALA</t>
  </si>
  <si>
    <t>AMANDA NAMIRA DEVANCHA</t>
  </si>
  <si>
    <t>MUHAMMAD RIZKI RAMADHAN</t>
  </si>
  <si>
    <t>MIFTAHUL FAUZI</t>
  </si>
  <si>
    <t>PUTRI NABILA</t>
  </si>
  <si>
    <t>WITA ANDRIANY</t>
  </si>
  <si>
    <t>MEINITAH INDRI YANTI</t>
  </si>
  <si>
    <t>ULFA DWIYANTI</t>
  </si>
  <si>
    <t>DITA MARSHELA</t>
  </si>
  <si>
    <t>M SADAM ARDIANSYAH</t>
  </si>
  <si>
    <t>LAURENTIUS YANDI PUTRA</t>
  </si>
  <si>
    <t>LEONARDUS WIDIYONO</t>
  </si>
  <si>
    <t>NURYA FEBTRIANI</t>
  </si>
  <si>
    <t>ARIYO BASKORO</t>
  </si>
  <si>
    <t>JELIS KLISNAWATI</t>
  </si>
  <si>
    <t>DEBY HANJAYA</t>
  </si>
  <si>
    <t>NESSA OLIVIA INGGRI</t>
  </si>
  <si>
    <t>ADITYA JUWARSYAH PUTRA</t>
  </si>
  <si>
    <t>MAHESA RAMADHANI R.F</t>
  </si>
  <si>
    <t>HOLIPA WIDYANI</t>
  </si>
  <si>
    <t>M PRAYOGA</t>
  </si>
  <si>
    <t>RAFIF KHAIRAN JATMIKA</t>
  </si>
  <si>
    <t>FREDION IMAN TIAGARA</t>
  </si>
  <si>
    <t>MIFTAHUL JANNAH</t>
  </si>
  <si>
    <t>HARDIANTI</t>
  </si>
  <si>
    <t>INTAN CAHYANI RATNAJUITA</t>
  </si>
  <si>
    <t>SONIA DWI LESTARI MELDA</t>
  </si>
  <si>
    <t>MOHAMAD ISMAIL</t>
  </si>
  <si>
    <t>REZA ILHAM FAKHRI</t>
  </si>
  <si>
    <t>DHAFA HERDIANA PRATAMA</t>
  </si>
  <si>
    <t>ENGGAR SAPUTRA</t>
  </si>
  <si>
    <t>UMMUL AISHA</t>
  </si>
  <si>
    <t>RESMA AYU SEPTIA</t>
  </si>
  <si>
    <t>SUKMA HIDAYAH</t>
  </si>
  <si>
    <t>AMANDA JULIA PUTRI</t>
  </si>
  <si>
    <t>RAIHAN ABDILLAH</t>
  </si>
  <si>
    <t>IZZA NUR HIDAYAT</t>
  </si>
  <si>
    <t>RIVAL OKTAPIANSYAH</t>
  </si>
  <si>
    <t>ELLSHA ROSMAIDA</t>
  </si>
  <si>
    <t>HAFIRA RAHAYU</t>
  </si>
  <si>
    <t>FARAH SALSABILA</t>
  </si>
  <si>
    <t>ABDUL HAKIM ALWALI</t>
  </si>
  <si>
    <t>IRVAN</t>
  </si>
  <si>
    <t>DANDI</t>
  </si>
  <si>
    <t>DITA MAWANDA</t>
  </si>
  <si>
    <t>YASINTA ZAHRA ZHAIRA</t>
  </si>
  <si>
    <t>ABDUL RAHMAN</t>
  </si>
  <si>
    <t>HERIBERTUS HARYONO</t>
  </si>
  <si>
    <t>SUNARNO</t>
  </si>
  <si>
    <t>SITI SANGIDAH</t>
  </si>
  <si>
    <t>PATRISIA KALUMBA</t>
  </si>
  <si>
    <t>NURHASAN</t>
  </si>
  <si>
    <t>IRMA NURMILASARI</t>
  </si>
  <si>
    <t>DESTIANI</t>
  </si>
  <si>
    <t>RASYIDA</t>
  </si>
  <si>
    <t>MUTIARA LARASATI PERMONO</t>
  </si>
  <si>
    <t>DANANG SURYONO</t>
  </si>
  <si>
    <t>FITRIA SEPTI NURJANAH</t>
  </si>
  <si>
    <t>TIARA CITRA</t>
  </si>
  <si>
    <t>ELA PURNAMASARI</t>
  </si>
  <si>
    <t>ARFAT MAULANA WAHYUDIN</t>
  </si>
  <si>
    <t>FAWWAZ DAMZA</t>
  </si>
  <si>
    <t>DARA CITRA PUSPA NEGARA</t>
  </si>
  <si>
    <t>SUPENTI</t>
  </si>
  <si>
    <t>ALYSA MUTIARA SHAFA</t>
  </si>
  <si>
    <t>ALFI DIANA PERMATASARI</t>
  </si>
  <si>
    <t>MELISA SETIAWAN</t>
  </si>
  <si>
    <t>NAJLA NURUL ARIFA</t>
  </si>
  <si>
    <t>LINGGA PERDIANSI</t>
  </si>
  <si>
    <t>LAULA NADIA</t>
  </si>
  <si>
    <t>ALFIANA PUTRI AMALIA</t>
  </si>
  <si>
    <t>ADHRIAN MAULANA PUTRA JUNIOR</t>
  </si>
  <si>
    <t>HARNIK</t>
  </si>
  <si>
    <t>MH RIFKY DHAMAR PUTRA</t>
  </si>
  <si>
    <t>AZIZAH WULANDARI</t>
  </si>
  <si>
    <t>AKHSANUL MAARIF</t>
  </si>
  <si>
    <t>NUR LAYLA EKA SYAFIRA</t>
  </si>
  <si>
    <t>RENDY APRIL YANSYAH</t>
  </si>
  <si>
    <t>DINA AMANDA</t>
  </si>
  <si>
    <t>DWYTA RIZKA ZAHRA FEBYANTI</t>
  </si>
  <si>
    <t>VENNERANDA ALEYINDRI MONA</t>
  </si>
  <si>
    <t>SANDA AKBAR JAYA</t>
  </si>
  <si>
    <t>FAHRI KURNIAWAN</t>
  </si>
  <si>
    <t>ANTONIUS HARPEN</t>
  </si>
  <si>
    <t>FARHAN MAULANA NUGROHO</t>
  </si>
  <si>
    <t>KLARA</t>
  </si>
  <si>
    <t>NADIA</t>
  </si>
  <si>
    <t>RYAN ADI SAPUTRA</t>
  </si>
  <si>
    <t>TERRY WONG</t>
  </si>
  <si>
    <t>ADITYA RIZKY DERMAWAN</t>
  </si>
  <si>
    <t>MUHAMMAD RAFLY TIARDI</t>
  </si>
  <si>
    <t>ARNADI</t>
  </si>
  <si>
    <t>SUSANA DEWI</t>
  </si>
  <si>
    <t>NINA ASTININGRUM</t>
  </si>
  <si>
    <t>WAHYU SYADONI</t>
  </si>
  <si>
    <t>APRIZAL</t>
  </si>
  <si>
    <t>ARYA NOVAL RIZKY</t>
  </si>
  <si>
    <t>SYARIFAH</t>
  </si>
  <si>
    <t>DEWI TRIATI</t>
  </si>
  <si>
    <t>DARMAYANTI</t>
  </si>
  <si>
    <t>OVI HARDINI</t>
  </si>
  <si>
    <t>NADIAH AULINA</t>
  </si>
  <si>
    <t>RIZSKY SAPOETRA</t>
  </si>
  <si>
    <t>RAMADHANI</t>
  </si>
  <si>
    <t>AHMAD MIFTAH FAJRUL ILMI</t>
  </si>
  <si>
    <t>WISNU RIZKY SYAHBANDI</t>
  </si>
  <si>
    <t>MAHARANI RACHEL ZAHRI PUTRI</t>
  </si>
  <si>
    <t>ALPISAR HAIQAL MA'RUF</t>
  </si>
  <si>
    <t>SAHRUL RAMADAN</t>
  </si>
  <si>
    <t>DARA SHLASTSYANG</t>
  </si>
  <si>
    <t>SUSAN HAURA PUTRI</t>
  </si>
  <si>
    <t>BERY MULYA AKBAR</t>
  </si>
  <si>
    <t>HARIANDI SAPUTRA</t>
  </si>
  <si>
    <t>WAHYU</t>
  </si>
  <si>
    <t>NATALIA DWI LESTARI</t>
  </si>
  <si>
    <t>DHERIS MAHENDRA</t>
  </si>
  <si>
    <t>ALFIANSYAH</t>
  </si>
  <si>
    <t>MUH AIDIL</t>
  </si>
  <si>
    <t>ACHMAD DANDY</t>
  </si>
  <si>
    <t>MUHAMMAD FARHAN</t>
  </si>
  <si>
    <t>SASYA SUCI SYAHMANDA PRAMUDITA</t>
  </si>
  <si>
    <t>ZIKRIA NAFAITUL</t>
  </si>
  <si>
    <t>HILDIANA APRILIANI DHIU DEMO</t>
  </si>
  <si>
    <t>DWI ANGGI PRADIPTA</t>
  </si>
  <si>
    <t>MUHAMMAD RASYID</t>
  </si>
  <si>
    <t>ANDINI DWI INKE OCTAVIA</t>
  </si>
  <si>
    <t>SELI SALSABILA</t>
  </si>
  <si>
    <t>KEIZATALITA PUTRI PURNAMA</t>
  </si>
  <si>
    <t>SHIFA AZZAHRA</t>
  </si>
  <si>
    <t>MUHAMMAD RIYAN WIRAPUTRA</t>
  </si>
  <si>
    <t>RIFDATUN NISA</t>
  </si>
  <si>
    <t>AWANG MUHAMMAD TRIELEVY WANDA</t>
  </si>
  <si>
    <t>SHARFINA SALSABILA</t>
  </si>
  <si>
    <t>VADITA ASTUTI</t>
  </si>
  <si>
    <t>DEDHY PUTRA</t>
  </si>
  <si>
    <t>RAHMAT HIDAYAT</t>
  </si>
  <si>
    <t>NUR A'INA</t>
  </si>
  <si>
    <t>PUTRI DIAN ALFADILLA NUR</t>
  </si>
  <si>
    <t>DAFIT TOMELE</t>
  </si>
  <si>
    <t>SELFIAH ARSITAH</t>
  </si>
  <si>
    <t>M MIRZA</t>
  </si>
  <si>
    <t>WANDA KAMILA FEBRIYANTI</t>
  </si>
  <si>
    <t>M. MARTIN AL PAJAR</t>
  </si>
  <si>
    <t>NABILLA PUTRI SOPIAN</t>
  </si>
  <si>
    <t>CAHAYA</t>
  </si>
  <si>
    <t>AAN RAJAB JUHANDI AMRAN JUHANI</t>
  </si>
  <si>
    <t>RAFLI MUHAMMAD FAJAR</t>
  </si>
  <si>
    <t>SYAFWAN RAMADHANA</t>
  </si>
  <si>
    <t>SIFANA ANANDA MALIKI</t>
  </si>
  <si>
    <t>ISNINAJWA ANWAR</t>
  </si>
  <si>
    <t>SITTI ZAHRA KUSUMA RAMADHANI</t>
  </si>
  <si>
    <t>MUHAMMAD RIZKI ARDAN</t>
  </si>
  <si>
    <t>GREGORIUS JOSEPANG</t>
  </si>
  <si>
    <t>HADI ISTANTO</t>
  </si>
  <si>
    <t>MODESTA NOVIA CRISTINA OLA</t>
  </si>
  <si>
    <t>ANGGA SAPUTRA HADI P</t>
  </si>
  <si>
    <t>MUHAMMAD ADHE CHANDRA</t>
  </si>
  <si>
    <t>MUHAMMAD IKHSAN FADHILLAH</t>
  </si>
  <si>
    <t>SITTI MAY SARAH</t>
  </si>
  <si>
    <t>FITRI WULANDARI</t>
  </si>
  <si>
    <t>REZA SYAHRULLAH MURSALIN</t>
  </si>
  <si>
    <t>BERNADUS SINGGIH HINDRATNO</t>
  </si>
  <si>
    <t>SLAMET RAHAYU</t>
  </si>
  <si>
    <t>ARIEF HARTOYO</t>
  </si>
  <si>
    <t>ASEP RAMDAN</t>
  </si>
  <si>
    <t>MUHAMMAD SUHENDRA</t>
  </si>
  <si>
    <t>CUT ARTIKA NABILA</t>
  </si>
  <si>
    <t>SAHIRA ASSABIQA</t>
  </si>
  <si>
    <t>ZIA ULHAQ</t>
  </si>
  <si>
    <t>M AMIN SYAHPUTRA</t>
  </si>
  <si>
    <t>AQIL MUFID</t>
  </si>
  <si>
    <t>CUT MUTIAHAKSYAH</t>
  </si>
  <si>
    <t>FAJAR ARIFULLAH</t>
  </si>
  <si>
    <t>DICHO ALFALAH</t>
  </si>
  <si>
    <t>DILLA FEBRIANTI</t>
  </si>
  <si>
    <t>AURA AGUSTINA</t>
  </si>
  <si>
    <t>ASYIFA MEISYA FHONNA</t>
  </si>
  <si>
    <t>M RANGGA ATH THARIQ</t>
  </si>
  <si>
    <t>RAHMAD RIFAI</t>
  </si>
  <si>
    <t>ARI AFRIZAL</t>
  </si>
  <si>
    <t>CUT ULYA KHAIRA</t>
  </si>
  <si>
    <t>MUHAMMAD ALFARABI</t>
  </si>
  <si>
    <t>AISH FADHILA</t>
  </si>
  <si>
    <t>GIBRAN WIRA FAHLEVI</t>
  </si>
  <si>
    <t>NURUL AINI</t>
  </si>
  <si>
    <t>NOFI AMELIA</t>
  </si>
  <si>
    <t>ISTI PURWANTO</t>
  </si>
  <si>
    <t>FAHMI REZA JAMIL</t>
  </si>
  <si>
    <t>ANJAS RIZKI WIJAYA PUTRA</t>
  </si>
  <si>
    <t>ALFI RISKY RAHMANDA</t>
  </si>
  <si>
    <t>RAIHATUL JANNAH</t>
  </si>
  <si>
    <t>ANASTASIA DELLA MINERVA</t>
  </si>
  <si>
    <t>HAWILATUL HUSNA</t>
  </si>
  <si>
    <t>BELLY NATAELA SEPTIANI</t>
  </si>
  <si>
    <t>ABDUL MALIK FAJAR</t>
  </si>
  <si>
    <t>SELVIA AGUSTINA</t>
  </si>
  <si>
    <t>FIRAS IKBAR MUSADDAQ</t>
  </si>
  <si>
    <t>ALDO RIZKY ARIFNA</t>
  </si>
  <si>
    <t>MICHELLE ANGEL</t>
  </si>
  <si>
    <t>YOLISTIA MAHARANI ISMAIL PUTRI</t>
  </si>
  <si>
    <t>NURUL LUSIANA AZZAHRA</t>
  </si>
  <si>
    <t>RAINANDA MAHARANI</t>
  </si>
  <si>
    <t>TEGUH FIRMANSYAH</t>
  </si>
  <si>
    <t>RIFA ZULIANA PRADITA</t>
  </si>
  <si>
    <t>MUHAMMAD FADEL NURZIYAN</t>
  </si>
  <si>
    <t>TANIA NABILA KEYSHA</t>
  </si>
  <si>
    <t>RAMLAN SAPUTRA HIDAYAT</t>
  </si>
  <si>
    <t>DEDI SETIADI</t>
  </si>
  <si>
    <t>BARAA RAZYA CHAERUDIN</t>
  </si>
  <si>
    <t>MUHAMMAD ZAKI IRGIANSYAH</t>
  </si>
  <si>
    <t>DINA IKRIMA PUTRI</t>
  </si>
  <si>
    <t>RINI SARININGSIH</t>
  </si>
  <si>
    <t>LATIFAH SAADAH</t>
  </si>
  <si>
    <t>MULYANA</t>
  </si>
  <si>
    <t>ATABIK SAHID DHUNNROIN</t>
  </si>
  <si>
    <t>AI SURYANI</t>
  </si>
  <si>
    <t>DESRA TANUDIJAYA</t>
  </si>
  <si>
    <t>MELANIA DITA</t>
  </si>
  <si>
    <t>SRI MOELYAWATI</t>
  </si>
  <si>
    <t>TARCICIUS SUTARJONO</t>
  </si>
  <si>
    <t>HYACINTHUS PATNA MARTIMBANG</t>
  </si>
  <si>
    <t>ADIS HADIAT</t>
  </si>
  <si>
    <t>ESTI BINTARI</t>
  </si>
  <si>
    <t>MARIA FRIDA LIZA NOVA</t>
  </si>
  <si>
    <t>KARINA SALSABILA</t>
  </si>
  <si>
    <t>MUHYI NAJMUDIN</t>
  </si>
  <si>
    <t>FACHRY RIZKY PRATAMA</t>
  </si>
  <si>
    <t>VALDA VITA LULU FIRDAUS</t>
  </si>
  <si>
    <t>REZA AGUSTIN</t>
  </si>
  <si>
    <t>ATHFAL SATRIO</t>
  </si>
  <si>
    <t>AULIA NATHANIA ANDRIANI</t>
  </si>
  <si>
    <t>NICHOLAS GINDO YUDIKA</t>
  </si>
  <si>
    <t>ALIFVIA PUTRI JESSIKA MAHARANI</t>
  </si>
  <si>
    <t>YUDI CAHYANA</t>
  </si>
  <si>
    <t>MUHAMMAD GILAR SOGIRI</t>
  </si>
  <si>
    <t>RISMA RAHMA FARIDA</t>
  </si>
  <si>
    <t>RATU RAHMA SABANIAH</t>
  </si>
  <si>
    <t>FEBRIYANA LEGIAWATI</t>
  </si>
  <si>
    <t>JESICA RAHMAWATI</t>
  </si>
  <si>
    <t>AZAHRA APRIANI</t>
  </si>
  <si>
    <t>YUSTINUS SUKMA NARENDRO</t>
  </si>
  <si>
    <t>RIZKI PUTRA SEMBADA</t>
  </si>
  <si>
    <t>YB TRIYANTO</t>
  </si>
  <si>
    <t>MAMAN SUPARMAN</t>
  </si>
  <si>
    <t>LEONARDUS WISNU WARDHANA</t>
  </si>
  <si>
    <t>ELAN SUHERLAN</t>
  </si>
  <si>
    <t>TUTI HARYATI</t>
  </si>
  <si>
    <t>MOCHAMAD APIP</t>
  </si>
  <si>
    <t>MILA MARLIANI</t>
  </si>
  <si>
    <t>DENNY JAKSON S</t>
  </si>
  <si>
    <t>HILMAN RAHMADI SUMARDY</t>
  </si>
  <si>
    <t>PRIMA AJI SAPUTRA</t>
  </si>
  <si>
    <t>ANGELINE NINDA JESICA</t>
  </si>
  <si>
    <t>ANNISA FITRAH AMANAH</t>
  </si>
  <si>
    <t>MUHAMAD GILANG</t>
  </si>
  <si>
    <t>LAURA MESYA CAHYA NADIRA</t>
  </si>
  <si>
    <t>MUHAMAD RIZAL KUSNAEDI</t>
  </si>
  <si>
    <t>ARINI MARIAM</t>
  </si>
  <si>
    <t>WIDIE WIARNA GUMILANG</t>
  </si>
  <si>
    <t>RIDWAN HIDAYAT</t>
  </si>
  <si>
    <t>GILANG NAKULA MUHAMMAD RIZKI</t>
  </si>
  <si>
    <t>GEGER YUNIAR</t>
  </si>
  <si>
    <t>HANI MULYA ANDIKA</t>
  </si>
  <si>
    <t>RIFKI DINAR IBRAHIM</t>
  </si>
  <si>
    <t>WAHYU FIRMANSYAH</t>
  </si>
  <si>
    <t>ADINDA EINE AZALIA</t>
  </si>
  <si>
    <t>BRAHMANDIO AMIRUL HIDAYAT PUTRA</t>
  </si>
  <si>
    <t>ASEP GANDANA</t>
  </si>
  <si>
    <t>R B  WISNU MULJONOHADI</t>
  </si>
  <si>
    <t>TINA NELLY SIMAMORA</t>
  </si>
  <si>
    <t>IAN RUSH</t>
  </si>
  <si>
    <t>EGY SOBARI PUTRA</t>
  </si>
  <si>
    <t>SHELFIRA TRIE ANDARI</t>
  </si>
  <si>
    <t>FARLY ARGIANTARA</t>
  </si>
  <si>
    <t>KINANTI BAYAWATI</t>
  </si>
  <si>
    <t>SAEFUL ANWAR</t>
  </si>
  <si>
    <t>NISRINA NURFELITA SARI</t>
  </si>
  <si>
    <t>DEALI NUR YAMAN</t>
  </si>
  <si>
    <t>FATIMAH SUKMA WATI</t>
  </si>
  <si>
    <t>ZEPHANYA YEHUDA LEUNISSEN</t>
  </si>
  <si>
    <t>IWAN HERMAWAN</t>
  </si>
  <si>
    <t>ANDREAS HANSEN</t>
  </si>
  <si>
    <t>NASYWA NABILAH KHOIRUNISA</t>
  </si>
  <si>
    <t>RIZKY DZULHIFFAN</t>
  </si>
  <si>
    <t>SIGIT SAHADI</t>
  </si>
  <si>
    <t>MUHAMMAD RAJA PUTRA</t>
  </si>
  <si>
    <t>PUTU GOVINDA PARAMITA</t>
  </si>
  <si>
    <t>ALVIAN ZIDANE HIDAYAT PUTRA</t>
  </si>
  <si>
    <t>BRILLIAN RIZKI WIBOWO</t>
  </si>
  <si>
    <t>LUTHFINA SHABRINA SETIAWAN</t>
  </si>
  <si>
    <t>BINTANG PUTRA HARDIAN</t>
  </si>
  <si>
    <t>HADI ROHMAN</t>
  </si>
  <si>
    <t>MUHAMMAD DIVA DWI SAPUTRA</t>
  </si>
  <si>
    <t>GRESTIAWAN M K</t>
  </si>
  <si>
    <t>AGUS AWALUDIN</t>
  </si>
  <si>
    <t>ROBERTUS CHRISJATMIKO</t>
  </si>
  <si>
    <t>RUDI</t>
  </si>
  <si>
    <t>DORKAS DESIMA</t>
  </si>
  <si>
    <t>MUHAMMAD YUSUF</t>
  </si>
  <si>
    <t>ALFIAN SYAH PUTRA</t>
  </si>
  <si>
    <t>FAJRI RIZKIA DWIBAGJA</t>
  </si>
  <si>
    <t>MUHAMAD HISBAL  AL-GHIFARI</t>
  </si>
  <si>
    <t>ILHAM PADILAH</t>
  </si>
  <si>
    <t>NABILA RIZQIA RAMADHANTI</t>
  </si>
  <si>
    <t>AULIA SALSABILA</t>
  </si>
  <si>
    <t>FIKRI NAZHIF WASILAH</t>
  </si>
  <si>
    <t>SUGENG DWY WIRA UTAMA</t>
  </si>
  <si>
    <t>WIWIT WIDYASTUTI</t>
  </si>
  <si>
    <t>ADAM PURNAMA KOMARA</t>
  </si>
  <si>
    <t>PURWANTARA</t>
  </si>
  <si>
    <t>RENDI ALIP RIYADI PUTRA</t>
  </si>
  <si>
    <t>MOCHAMAD DANI SETIAWAN</t>
  </si>
  <si>
    <t>M. ALBANI ISMAIL</t>
  </si>
  <si>
    <t>ALIF SEPTIAJI SULAEMAN</t>
  </si>
  <si>
    <t>LULU ARSYLIA</t>
  </si>
  <si>
    <t>BERYL PUTRA HARATAMA</t>
  </si>
  <si>
    <t>NUR ALANA RAHMAN</t>
  </si>
  <si>
    <t>AMALUDIN</t>
  </si>
  <si>
    <t>HANBAL</t>
  </si>
  <si>
    <t>ABIDAH BUNGA RAMADHANI</t>
  </si>
  <si>
    <t>PANESA PUTRI</t>
  </si>
  <si>
    <t>WANDANI MUHAMAD FAITUL MI RAJ</t>
  </si>
  <si>
    <t>ERLINCE SINAGA</t>
  </si>
  <si>
    <t>FARID AZIZ</t>
  </si>
  <si>
    <t>EHRU FAHRUDIN</t>
  </si>
  <si>
    <t>NURUL SHAHIDAH</t>
  </si>
  <si>
    <t>INDRIYANA</t>
  </si>
  <si>
    <t>MUHAMMAD RIZKI WIBOWO</t>
  </si>
  <si>
    <t>ANITA AGUSTINA</t>
  </si>
  <si>
    <t>STEVANI MARIA RATNASARI</t>
  </si>
  <si>
    <t>KEIRA INARA GANDEY</t>
  </si>
  <si>
    <t>SENDI SATRIA LESMANA</t>
  </si>
  <si>
    <t>ERIC NOVEMBRIAN SAPUTRA</t>
  </si>
  <si>
    <t>SITI DIAN HAPSARI</t>
  </si>
  <si>
    <t>MAYA FEBRI WULANDARI</t>
  </si>
  <si>
    <t>OINIKE IBEL GUSTEVANNYA SARAGIH</t>
  </si>
  <si>
    <t>TAUFIK ADITYA</t>
  </si>
  <si>
    <t>IGLO MONTANA DHARMAWAN</t>
  </si>
  <si>
    <t>KUSNAN ADANI NUGRAHA</t>
  </si>
  <si>
    <t>DAPA NUR HIDAYAT</t>
  </si>
  <si>
    <t>VALI DANINGKA</t>
  </si>
  <si>
    <t>SUPRIYANTORO</t>
  </si>
  <si>
    <t>SARJIMAN</t>
  </si>
  <si>
    <t>RASMAN ARFIN PRASETIYO</t>
  </si>
  <si>
    <t>NALI</t>
  </si>
  <si>
    <t>TAUFIK SLAMET</t>
  </si>
  <si>
    <t>GILANG NOVTU ANDANA</t>
  </si>
  <si>
    <t>TETY YULIANA</t>
  </si>
  <si>
    <t>YUDISTIRA EKA SALSABILA</t>
  </si>
  <si>
    <t>KHAYLA AYU SHIVANA</t>
  </si>
  <si>
    <t>NAILA RAHMADHANI</t>
  </si>
  <si>
    <t>BULAN SEKARWANGI PUTRI HIDAYATI</t>
  </si>
  <si>
    <t>ANIS KHOIRUNNISA</t>
  </si>
  <si>
    <t>OKTA LIA HANDAYANI</t>
  </si>
  <si>
    <t>M BAGAS KURNIAWAN SAPUTRA</t>
  </si>
  <si>
    <t>ISFAN FAJAR SYAFEI</t>
  </si>
  <si>
    <t>HANZ ELKASAVA GIRSANG</t>
  </si>
  <si>
    <t>NISRINA FAIZA</t>
  </si>
  <si>
    <t>METHA SEFTIA</t>
  </si>
  <si>
    <t>INTAN SUNARTO</t>
  </si>
  <si>
    <t>TULUS WIDODO</t>
  </si>
  <si>
    <t>NASRUL MAULANA ILYASA</t>
  </si>
  <si>
    <t>NABILAH PUTRI</t>
  </si>
  <si>
    <t>DEVIYAN DENA APRIYANTO</t>
  </si>
  <si>
    <t>BAMBANG DAVA PAMUNGKAS</t>
  </si>
  <si>
    <t>FAADILAH AZHARI</t>
  </si>
  <si>
    <t>NATASHA JULIA MUSLIM</t>
  </si>
  <si>
    <t>PUPUT SANDRA</t>
  </si>
  <si>
    <t>DESHINTA PUTRI DEWANTI</t>
  </si>
  <si>
    <t>ODI KURNIAWAN</t>
  </si>
  <si>
    <t>MUHAMAD NUR SHIDIQ</t>
  </si>
  <si>
    <t>WINDY YULIANI</t>
  </si>
  <si>
    <t>LYA MULYADI</t>
  </si>
  <si>
    <t>RAVENA OPHELLIA DITYA MEDINA</t>
  </si>
  <si>
    <t>SUCI RIZQIA PERTIWI</t>
  </si>
  <si>
    <t>SEVILA DELIAYANA</t>
  </si>
  <si>
    <t>ANITA PUTRI RAHAYU</t>
  </si>
  <si>
    <t>AULIA NUR ENDAYANI</t>
  </si>
  <si>
    <t>REVA FAUZI</t>
  </si>
  <si>
    <t>ANDRA NURHALIZA</t>
  </si>
  <si>
    <t>NANDA ATHALLA PUTRA</t>
  </si>
  <si>
    <t>ALOYSIUS GONZAGA KOPTARICO NUGRAHA</t>
  </si>
  <si>
    <t>GIA SUCIANI</t>
  </si>
  <si>
    <t>ENY SUSANTI</t>
  </si>
  <si>
    <t>PUAN MAHARANI</t>
  </si>
  <si>
    <t>NIRMALA AGUSTIN</t>
  </si>
  <si>
    <t>MUHAMMAD RAGHIB ILHAM AR-RAYYA</t>
  </si>
  <si>
    <t>MUHAMMAD IHDI YUWANA</t>
  </si>
  <si>
    <t>ANDREAS APRIAL PARDAMEAN SIMARMATA</t>
  </si>
  <si>
    <t>RAFIKA DINA</t>
  </si>
  <si>
    <t>FADJAR CHORSA</t>
  </si>
  <si>
    <t>AJENG SYAFA KAULIKA</t>
  </si>
  <si>
    <t>IKBAL</t>
  </si>
  <si>
    <t>SARAH AMELIA</t>
  </si>
  <si>
    <t>RAFY DEPANDA ARDIANSAH</t>
  </si>
  <si>
    <t>SYANDA AZWA ALLIFIA</t>
  </si>
  <si>
    <t>THEODORY LOWSEN</t>
  </si>
  <si>
    <t>AGUNG MUHAMMAD YUSUF</t>
  </si>
  <si>
    <t>FIKRI ALBAR AL GHIFARI</t>
  </si>
  <si>
    <t>RIZQI ABDUL FATAH</t>
  </si>
  <si>
    <t>REGINA DABILLAH</t>
  </si>
  <si>
    <t>NURY ANWAR</t>
  </si>
  <si>
    <t>AHMAD FARIDZ HIDAYATULLOH</t>
  </si>
  <si>
    <t>DEDE RUSMAN</t>
  </si>
  <si>
    <t>ALYA SEPTIANI PUTRI</t>
  </si>
  <si>
    <t>DINI NURSOLIHATI</t>
  </si>
  <si>
    <t>RAMA TIYANA</t>
  </si>
  <si>
    <t>RANI FEBRIYANI</t>
  </si>
  <si>
    <t>MOCH THORIQ AL FARIZI</t>
  </si>
  <si>
    <t>NABILA</t>
  </si>
  <si>
    <t>RIFKI ABDUL FARIZ</t>
  </si>
  <si>
    <t>DEWI ANGGRAENI</t>
  </si>
  <si>
    <t>NIKO NOVIAN ROMADHON</t>
  </si>
  <si>
    <t>MARKUS LEO NARDO</t>
  </si>
  <si>
    <t>ANDIKA</t>
  </si>
  <si>
    <t>ISWAHYUNI</t>
  </si>
  <si>
    <t>YULIA ARIASTUTI</t>
  </si>
  <si>
    <t>RIYANA</t>
  </si>
  <si>
    <t>BENI DWI FEBRIAN</t>
  </si>
  <si>
    <t>KRISWANTORO</t>
  </si>
  <si>
    <t>VERA MEIRANTI</t>
  </si>
  <si>
    <t>RENI WIDYA LESTARI</t>
  </si>
  <si>
    <t>DENY INDRA SAPUTRA</t>
  </si>
  <si>
    <t>NINA RISMA HIDAYANTI</t>
  </si>
  <si>
    <t>RANGGANU PULUNGGONO LA</t>
  </si>
  <si>
    <t>SALSABILA FITRIA HADI</t>
  </si>
  <si>
    <t>HALIMAH WULANDARI</t>
  </si>
  <si>
    <t>NAZMA TRI HAPSARI</t>
  </si>
  <si>
    <t>MICHELLE APRILIA HERAWAN</t>
  </si>
  <si>
    <t>DIO PRASETIO</t>
  </si>
  <si>
    <t>DZAKY FAHRUL ROZY</t>
  </si>
  <si>
    <t>SUYONO</t>
  </si>
  <si>
    <t>SRI NINGSIH WIDIATI</t>
  </si>
  <si>
    <t>JOKO SANTOSA</t>
  </si>
  <si>
    <t>SUPARNO</t>
  </si>
  <si>
    <t>SUYUDI</t>
  </si>
  <si>
    <t>JHONRIS BERNAD AGUSTONY S</t>
  </si>
  <si>
    <t>WILI SETIYONO</t>
  </si>
  <si>
    <t>RIO MOENANG</t>
  </si>
  <si>
    <t>RANDI APRIANSYAH RAMADHAN</t>
  </si>
  <si>
    <t>GERALDI</t>
  </si>
  <si>
    <t>M TOMY SAPUTRA</t>
  </si>
  <si>
    <t>CHANDRA GHOZALIH</t>
  </si>
  <si>
    <t>SHABRINA JULIYANTI</t>
  </si>
  <si>
    <t>RASYA PUTRI RAHMADINI</t>
  </si>
  <si>
    <t>AGUS RIYADI</t>
  </si>
  <si>
    <t>ANDAYU BERLIANA MICHELLE TAN</t>
  </si>
  <si>
    <t>AMELIA SHOLIHAT MAULANI</t>
  </si>
  <si>
    <t>NANDA FAKHIRA SANI</t>
  </si>
  <si>
    <t>ELSANTO</t>
  </si>
  <si>
    <t>VIONAH FEBRIYANI</t>
  </si>
  <si>
    <t>IKA YULIANNI PURWANINGSIH</t>
  </si>
  <si>
    <t>MOHAMAD IMAM ZAENAL ABIDIN</t>
  </si>
  <si>
    <t>TAUFIK UBAYDILAH</t>
  </si>
  <si>
    <t>PRITA WIDIASRINI</t>
  </si>
  <si>
    <t>MUHAMAD AGIT ARRIDHO</t>
  </si>
  <si>
    <t>MUHAMMAD MUKHLASIN FATANI</t>
  </si>
  <si>
    <t>RIFAL FAHLEVI</t>
  </si>
  <si>
    <t>RAMA SAPUTRA</t>
  </si>
  <si>
    <t>CAHYONO DARMADI</t>
  </si>
  <si>
    <t>EFRIANUS TOGA M</t>
  </si>
  <si>
    <t>ULFI FATCHIYATUL JANNAH</t>
  </si>
  <si>
    <t>ACHMAD FAUZI IBMI</t>
  </si>
  <si>
    <t>BUNGA FATIMATTUZAHRA</t>
  </si>
  <si>
    <t>FEBRUARI KURNIA WARUWU</t>
  </si>
  <si>
    <t>AKILA EL HAWARI</t>
  </si>
  <si>
    <t>RIVANI NATASYA SIDAURUK</t>
  </si>
  <si>
    <t>AHMADI</t>
  </si>
  <si>
    <t>PARIS MAVEL MORATA PURBA</t>
  </si>
  <si>
    <t>DANIKA IFADA SIMBOLON</t>
  </si>
  <si>
    <t>HERDIANSYAH</t>
  </si>
  <si>
    <t>DIRA RAHMADINA SINAGA</t>
  </si>
  <si>
    <t>JHON VIKKI SINAGA</t>
  </si>
  <si>
    <t>SYAHDAN ABDI PRATAMA</t>
  </si>
  <si>
    <t>ANNISA VANI RAMADHANI</t>
  </si>
  <si>
    <t>SYITI FADILAH BALKIS PARDEDE</t>
  </si>
  <si>
    <t>ALWI HANAPI HASIBUAN</t>
  </si>
  <si>
    <t>ANSELMUS ENSTEINT HULU</t>
  </si>
  <si>
    <t>INTAN TASYA ARINI</t>
  </si>
  <si>
    <t>YULIANTI BR TANJUNG</t>
  </si>
  <si>
    <t>ANDIKA BAYU PRATAMA</t>
  </si>
  <si>
    <t>MEGA LAURA LUBIS</t>
  </si>
  <si>
    <t>JUWITA AMELIA</t>
  </si>
  <si>
    <t>ALEX SALENCO MANIK</t>
  </si>
  <si>
    <t>LAURA RUXENA SIRAIT</t>
  </si>
  <si>
    <t>TARULI DESLADY BR PANJJAITAN</t>
  </si>
  <si>
    <t>ANNISA LATIFAH SALSABILA</t>
  </si>
  <si>
    <t>DIMAS FRAYOGA LUBIS</t>
  </si>
  <si>
    <t>ILHAN</t>
  </si>
  <si>
    <t>INTAN PUTRI JELITA TAFONAO</t>
  </si>
  <si>
    <t>NIA NATANESA DAMANIK</t>
  </si>
  <si>
    <t>LISA MARIE BONITA SIANTURI</t>
  </si>
  <si>
    <t>BONI BONAVENTURA REVON CA</t>
  </si>
  <si>
    <t>AGUS TRI MARYANTO</t>
  </si>
  <si>
    <t>IRAWATI</t>
  </si>
  <si>
    <t>ROMIDA SIPAYUNG</t>
  </si>
  <si>
    <t>RAYA TIAR M L TOBING</t>
  </si>
  <si>
    <t>IDA BAGUS PUTU IKA UDAYANTA</t>
  </si>
  <si>
    <t>MANGARISSAN SIDABUTAR</t>
  </si>
  <si>
    <t>NADIN DWI ASRI ANDINI</t>
  </si>
  <si>
    <t>SALWA FANNISYAH</t>
  </si>
  <si>
    <t>RONALDO P ROLINAS</t>
  </si>
  <si>
    <t>ATHILLA AZRA</t>
  </si>
  <si>
    <t>CRISTIAN HADINATA</t>
  </si>
  <si>
    <t>ANISA ADELIA</t>
  </si>
  <si>
    <t>TATIYA</t>
  </si>
  <si>
    <t>JESSICA SILALAHI</t>
  </si>
  <si>
    <t>RAFLI MAULANA LUBIS</t>
  </si>
  <si>
    <t>MARJONO</t>
  </si>
  <si>
    <t>KAMILAH LUBIS</t>
  </si>
  <si>
    <t>CHAIRAZI GALANG AZZURI</t>
  </si>
  <si>
    <t>YOLANDA SIMATUPANG</t>
  </si>
  <si>
    <t>RIZKY CHRISTIAN PRATAMA</t>
  </si>
  <si>
    <t>PRAYOGI PANGESTU</t>
  </si>
  <si>
    <t>MUHAMMAD AFANDI</t>
  </si>
  <si>
    <t>ANNISA ANGGRAINI</t>
  </si>
  <si>
    <t>SAMUEL SUMANTRI LIMBONG</t>
  </si>
  <si>
    <t>THALHAH ALFAYYAD KAHFI SIREGAR</t>
  </si>
  <si>
    <t>SYAPRIZAL WIGUNA</t>
  </si>
  <si>
    <t>ZAHRA ANGGI MANDIRA LUBIS</t>
  </si>
  <si>
    <t>LEONORA MARIA FLORENSI</t>
  </si>
  <si>
    <t>YENTI RUMONDANG HUTAHURUK</t>
  </si>
  <si>
    <t>TRIYOGO BUDI ADRIYANTO</t>
  </si>
  <si>
    <t>ELISNA RISTAULI RAJAGUKGUK</t>
  </si>
  <si>
    <t>REZA SAPUTRA RAMBE</t>
  </si>
  <si>
    <t>LIDIA BR PAKPAHAN</t>
  </si>
  <si>
    <t>FEBRIAN FERNANDO SIHOMBING</t>
  </si>
  <si>
    <t>FLORA</t>
  </si>
  <si>
    <t>M BIKI ALPHA CENTAURY</t>
  </si>
  <si>
    <t>ISAN KURNIA</t>
  </si>
  <si>
    <t>NURISMA RIZKI AGNIA</t>
  </si>
  <si>
    <t>NOVITA FITRI</t>
  </si>
  <si>
    <t>SATRIO WICAKSONO AJI</t>
  </si>
  <si>
    <t>MUCHAMAD TEGAR</t>
  </si>
  <si>
    <t>ANDI RIANDI</t>
  </si>
  <si>
    <t>ADRI AJRIAL AKBAR JAELANI</t>
  </si>
  <si>
    <t>SHEILLY RICARDO KLOER</t>
  </si>
  <si>
    <t>ANISA NUR LAILA</t>
  </si>
  <si>
    <t>WINNI MULYANI SONJAYA</t>
  </si>
  <si>
    <t>RIDWAN ALMA DANI</t>
  </si>
  <si>
    <t>AGATA SRI KRISDIYATI</t>
  </si>
  <si>
    <t>NAUFAL ABDILLAH AISY</t>
  </si>
  <si>
    <t>AKHMAD DAIROBY</t>
  </si>
  <si>
    <t>RINDU MAHESA PUTRI</t>
  </si>
  <si>
    <t>INDAH NOOR AJIZAH</t>
  </si>
  <si>
    <t>ALGHIFAR HENDRA RAMADHAN</t>
  </si>
  <si>
    <t>RAKA AWALIANA</t>
  </si>
  <si>
    <t>SITI ZULPA HASANAH</t>
  </si>
  <si>
    <t>ARAZKA MARSAA AQILA ROCHIMAT</t>
  </si>
  <si>
    <t>FADHLI SYAMSI</t>
  </si>
  <si>
    <t>NAJWA ZAHRA NISRINA</t>
  </si>
  <si>
    <t>PUTRI SYIFA AULIA</t>
  </si>
  <si>
    <t>DEWI KANIYATI</t>
  </si>
  <si>
    <t>ILHAM MULKHOLIK</t>
  </si>
  <si>
    <t>GHINAN AZELYA PUTRI EFFENDI</t>
  </si>
  <si>
    <t>IMAM YULIANTO</t>
  </si>
  <si>
    <t>ELTRIS AGUSTINO</t>
  </si>
  <si>
    <t>AGIM NURHAMAN</t>
  </si>
  <si>
    <t>NAJWA MUGNIRA PUTRI</t>
  </si>
  <si>
    <t>FILISE KUNARYANTO</t>
  </si>
  <si>
    <t>MAHDI AMIN UMAR</t>
  </si>
  <si>
    <t>IGNATIUS ARIYANTO</t>
  </si>
  <si>
    <t>I MADE RADITIA DARMA YASA</t>
  </si>
  <si>
    <t>DEWA MADE BAGUS BHIMA SURYAJAYA</t>
  </si>
  <si>
    <t>EVAN JONATHAN DIMAS OGUR</t>
  </si>
  <si>
    <t>ALMIRA ANNISALUTHFI</t>
  </si>
  <si>
    <t>CHRISTIAN LEONARD SAPUTRA MAUKALING</t>
  </si>
  <si>
    <t>I MADE GEDE GRIANTA</t>
  </si>
  <si>
    <t>ERICHA LINGGA PARAWANGSA</t>
  </si>
  <si>
    <t>GUSTI NGURAH PUTRA SUANA</t>
  </si>
  <si>
    <t>RESTUMAN ZEBUA</t>
  </si>
  <si>
    <t>I PUTU ADI PUTRA MULYAWAN</t>
  </si>
  <si>
    <t>NI KETUT SUWARNI</t>
  </si>
  <si>
    <t>NI NYOMAN SUSIANI</t>
  </si>
  <si>
    <t>NI NYOMAN DEWI YUNIARTI</t>
  </si>
  <si>
    <t>NI MADE YENI MARIANI</t>
  </si>
  <si>
    <t>I KM JULI DHARMANA PUTRA</t>
  </si>
  <si>
    <t>WELZEEN SINAGA</t>
  </si>
  <si>
    <t>EBIT SAHARA BR PURBA</t>
  </si>
  <si>
    <t>ELISABETH FEBRINA SITUMORANG</t>
  </si>
  <si>
    <t>IDA BAGUS GEDE PUTRA KENAKA</t>
  </si>
  <si>
    <t>NI PUTU SERI MURNI</t>
  </si>
  <si>
    <t>NI LUH AYU ANGGI RAMADANI</t>
  </si>
  <si>
    <t>ANISA PUTRI NUR HIDAYAH</t>
  </si>
  <si>
    <t>PUTU MELA SARIANI</t>
  </si>
  <si>
    <t>KHALIFAH ALIF SYAFRI</t>
  </si>
  <si>
    <t>KETUT DIKI MAYDA NANDAKA SUARJAYA</t>
  </si>
  <si>
    <t>IDA AYU JESSICA DEWI</t>
  </si>
  <si>
    <t>MUHAMMAD SYAFIEI</t>
  </si>
  <si>
    <t>I GUSTI AGUNG WIRA ANGGAYUDA</t>
  </si>
  <si>
    <t>NI GUSTI AYU GEDE PANCAWA</t>
  </si>
  <si>
    <t>NI MADE ADI HARINATAL</t>
  </si>
  <si>
    <t>VENANTIUS DWI GLADI SUMIRAT</t>
  </si>
  <si>
    <t>ANAK AGUNG SRI LESTARI</t>
  </si>
  <si>
    <t>DEDI KURNIAWAN</t>
  </si>
  <si>
    <t>I KOMANG WAHYU CAHYA ANANTA</t>
  </si>
  <si>
    <t>UTTARI DEWI MAHA PRABAWATI</t>
  </si>
  <si>
    <t>I WAYAN SUARDANA</t>
  </si>
  <si>
    <t>KAROLINA FERIASIH TASI</t>
  </si>
  <si>
    <t>DAVIDO FLADIMAIR FERDINANDT SOEROTO SURYONINGRAT</t>
  </si>
  <si>
    <t>SULTAN SADDAM SANTIAJI</t>
  </si>
  <si>
    <t>EUFRASIA YENI PANGUL</t>
  </si>
  <si>
    <t>NI PUTU MILDA JESIKA DEWI</t>
  </si>
  <si>
    <t>ANDHARA AYU NADIA APRILIA PUTRI</t>
  </si>
  <si>
    <t>ZIKRIJANURROSYID</t>
  </si>
  <si>
    <t>BAYU RAHMANSYAH</t>
  </si>
  <si>
    <t>NI KETUT PITASARI</t>
  </si>
  <si>
    <t>SARTO</t>
  </si>
  <si>
    <t>KADEK AYU CAHYA MANIK</t>
  </si>
  <si>
    <t>FAIZAL ARLAN PRAYOGA</t>
  </si>
  <si>
    <t>I PUTU WIRYARTA</t>
  </si>
  <si>
    <t>SALDI SAFITRA</t>
  </si>
  <si>
    <t>MAYZA REGGINA RAHMALIA PUTRI</t>
  </si>
  <si>
    <t>AMALIA ANANDA PUTRI</t>
  </si>
  <si>
    <t>NI WAYAN EKAYANI</t>
  </si>
  <si>
    <t>KADEK SRI SURYANTI</t>
  </si>
  <si>
    <t>STEVI PUTRA GUNAWAN MEHA</t>
  </si>
  <si>
    <t>STEVANUS SELAMET MULYONO</t>
  </si>
  <si>
    <t>DENDA FEBRIAN</t>
  </si>
  <si>
    <t>NAJWA DWI INGGAH SUPRIYANINGSIH</t>
  </si>
  <si>
    <t>FELGENESIA ELVIN</t>
  </si>
  <si>
    <t>KHOIRUNNISA AZIGHAH</t>
  </si>
  <si>
    <t>I KETUT SUMEYASA</t>
  </si>
  <si>
    <t>KADEK SRIATI</t>
  </si>
  <si>
    <t>ARIS KUSNANDAR</t>
  </si>
  <si>
    <t>JEHAN FAHMI RIDWAN</t>
  </si>
  <si>
    <t>NI KADEK WULAN KRISNA DEWI</t>
  </si>
  <si>
    <t>KETUT MULYANDA ADITYA WARDANA</t>
  </si>
  <si>
    <t>TESSALONICA NATHANIA</t>
  </si>
  <si>
    <t>MADE PANJI BAGUS BRAHMA WIDHIAWAN</t>
  </si>
  <si>
    <t>DIKHA WAHYU KURNIAWAN</t>
  </si>
  <si>
    <t>ACHMAD AKBAR AGYM BACHTIYAR</t>
  </si>
  <si>
    <t>NUR AIDINI</t>
  </si>
  <si>
    <t>ANISATUN NIKMAH</t>
  </si>
  <si>
    <t>NIDAUL HASANAH MIRFAQO</t>
  </si>
  <si>
    <t>ALDI WAHYU NUGROHO</t>
  </si>
  <si>
    <t>BAGUS SATRIO NUGROHO</t>
  </si>
  <si>
    <t>EFRILIANA SARI</t>
  </si>
  <si>
    <t>CINDRA POLONTALO</t>
  </si>
  <si>
    <t>ANITA ANATASYA ADAM</t>
  </si>
  <si>
    <t>DITA REGINA SUKMA HADI</t>
  </si>
  <si>
    <t>DIDIK YUDHO UTOMO</t>
  </si>
  <si>
    <t>YEYEN S HUYO</t>
  </si>
  <si>
    <t>ARIANON SUMBEANG</t>
  </si>
  <si>
    <t>SAFWAN GHAFUR PULUMODUYO</t>
  </si>
  <si>
    <t>BAGAS KALUKU</t>
  </si>
  <si>
    <t>PRISILIAWATI PUTRI NAKI</t>
  </si>
  <si>
    <t>SINANSARI</t>
  </si>
  <si>
    <t>ACH ASSEGAF</t>
  </si>
  <si>
    <t>ZAHWA ALI RAMADHANI</t>
  </si>
  <si>
    <t>ALFIA DWI KARTIKA</t>
  </si>
  <si>
    <t>VIOLA MEZZALUNA D AZZURI KRISTINUNG</t>
  </si>
  <si>
    <t>VINGKA ANANDA PUTRI</t>
  </si>
  <si>
    <t>NAUVAL ZAKI RABBANI</t>
  </si>
  <si>
    <t>SELVIN PRIMA APRILIA</t>
  </si>
  <si>
    <t>FARID MAGHFUR</t>
  </si>
  <si>
    <t>STEFANUS PANTALEON GUNADJI</t>
  </si>
  <si>
    <t>SOEHARINI</t>
  </si>
  <si>
    <t>ARIES MUNANDAR</t>
  </si>
  <si>
    <t>LELIANA MUTIARAWATI</t>
  </si>
  <si>
    <t>TAUFIK</t>
  </si>
  <si>
    <t>SUSI OKTAVIANI</t>
  </si>
  <si>
    <t>HAFID ROSIDI</t>
  </si>
  <si>
    <t>TITIN WANDANSARI</t>
  </si>
  <si>
    <t>MAHAYANTI FITRIANDARI</t>
  </si>
  <si>
    <t>MEINITA SUCIATI</t>
  </si>
  <si>
    <t>AHMAD IMRON</t>
  </si>
  <si>
    <t>AHMAD RAVI PRAYUGO</t>
  </si>
  <si>
    <t>SYAZWINA RAMAITA AWRA SARWONO</t>
  </si>
  <si>
    <t>ANDRE PURNAMA PUTRA</t>
  </si>
  <si>
    <t>ARYA PRATAMA ARIFIN</t>
  </si>
  <si>
    <t>ARINA MANASIKANA</t>
  </si>
  <si>
    <t>SITI DEWI HIKMAH</t>
  </si>
  <si>
    <t>GIAN MAULANA MALIK</t>
  </si>
  <si>
    <t>KRISNA GALUH PRATAMA</t>
  </si>
  <si>
    <t>RAFI AHMAD</t>
  </si>
  <si>
    <t>ADLIY RIZAL ANINDYA</t>
  </si>
  <si>
    <t>YUDA ADITYA PRATAMA</t>
  </si>
  <si>
    <t>DESTIN RESTRI KANNAJA YUHANIF</t>
  </si>
  <si>
    <t>ASROFUL MAWA UZLATUL AULA</t>
  </si>
  <si>
    <t>FARIHA SINTA AGUSTIN</t>
  </si>
  <si>
    <t>PUTRI FITRIATUL MUNA</t>
  </si>
  <si>
    <t>ANTONIUS DARWANTO</t>
  </si>
  <si>
    <t>CHITRA NEGARI PUTRI DIYANAWATI</t>
  </si>
  <si>
    <t>KUSUMA TRIWARDHANA</t>
  </si>
  <si>
    <t>RAHMA BINTARIATI</t>
  </si>
  <si>
    <t>FAJAR DANDUNG FIRMANSYAH</t>
  </si>
  <si>
    <t>RANDY RIYO TRI PUTRA</t>
  </si>
  <si>
    <t>INTAN PUTRI CAHYANI</t>
  </si>
  <si>
    <t>ARJUNA SAID AL AKYAS</t>
  </si>
  <si>
    <t>IQMAL RAHULIAN SYAH</t>
  </si>
  <si>
    <t>RANGGA NUGROHO</t>
  </si>
  <si>
    <t>GUPITA KUSUMAWARDHANI</t>
  </si>
  <si>
    <t>ZAHRA PUTRI NURCANDRANI</t>
  </si>
  <si>
    <t>SETYAWAN TRIADITAMA</t>
  </si>
  <si>
    <t>DENI WAHYU IRAWAN</t>
  </si>
  <si>
    <t>GISKA FITRI ARDYAH PRAMESTI</t>
  </si>
  <si>
    <t>NOVIA KHOIRUN NISAA</t>
  </si>
  <si>
    <t>MOH WAHYUDI</t>
  </si>
  <si>
    <t>HERRY MULYONO</t>
  </si>
  <si>
    <t>ISNANIK</t>
  </si>
  <si>
    <t>FENTY YUNIAR ASTUTI</t>
  </si>
  <si>
    <t>HARNANI</t>
  </si>
  <si>
    <t>ANIK SULISTYANINGRUM</t>
  </si>
  <si>
    <t>ANGELA MARIA OCTIANA FEMANT</t>
  </si>
  <si>
    <t>SURYONO</t>
  </si>
  <si>
    <t>EKO YUDHO PRASETYO</t>
  </si>
  <si>
    <t>TIGOR FERDINAN</t>
  </si>
  <si>
    <t>AFIFAH RIF'ATUL ALIYYAH</t>
  </si>
  <si>
    <t>DONNY ANDARU KURNIAWAN</t>
  </si>
  <si>
    <t>FARAJIHAN REVALINA</t>
  </si>
  <si>
    <t>DYA PUTRI KUSUMAWATI</t>
  </si>
  <si>
    <t>MUHAMMAD NAUVAN HISYAM</t>
  </si>
  <si>
    <t>MUHAMMAD ZUNAIDI ABDULLAH</t>
  </si>
  <si>
    <t>OSHAKA KHAYA CANTIKA</t>
  </si>
  <si>
    <t>ROSMALIA MAULIDYA</t>
  </si>
  <si>
    <t>NINGSIH WAHYUNI</t>
  </si>
  <si>
    <t>BERNICKE KARTIKA PUTRI</t>
  </si>
  <si>
    <t>AYDILLA PRAMESTHI SUCI ISNAINI</t>
  </si>
  <si>
    <t>AHMAD BAYHAQI COANG</t>
  </si>
  <si>
    <t>SINDI</t>
  </si>
  <si>
    <t>BOEDI PRIAMBODO</t>
  </si>
  <si>
    <t>GATUT KANEKO PUTRO</t>
  </si>
  <si>
    <t>ERNA KUSUMAWATI</t>
  </si>
  <si>
    <t>CHOLIQ HIDAYATULLAH</t>
  </si>
  <si>
    <t>DWI ANDRI SEPTIADI</t>
  </si>
  <si>
    <t>FAJAR PUTRA</t>
  </si>
  <si>
    <t>RIZKI IRVAN MAULANA</t>
  </si>
  <si>
    <t>ELLA TRIYAS MONIKA</t>
  </si>
  <si>
    <t>DIEGO KAKA PUTRA PERDANA</t>
  </si>
  <si>
    <t>GADIS KURNIA ADZANI</t>
  </si>
  <si>
    <t>CLAYNOVA NAFISA WANDA AXLYNA</t>
  </si>
  <si>
    <t>SHELSA TRI MAULIDIA</t>
  </si>
  <si>
    <t>DWI WIRANTI</t>
  </si>
  <si>
    <t>AGUS RENDI TRIWIBOWO</t>
  </si>
  <si>
    <t>MUHAMMAD SHOBIRUL NUR IHSAN</t>
  </si>
  <si>
    <t>ALYA ROSSA</t>
  </si>
  <si>
    <t>MUKHAMMAD AINUR ROZIQIN</t>
  </si>
  <si>
    <t>MAULANA RIHADATUL AISY</t>
  </si>
  <si>
    <t>RICHARD ALHAKIM</t>
  </si>
  <si>
    <t>TARA WINDA HAPSARI</t>
  </si>
  <si>
    <t>MUHAMAD NURUL HIDAYAT</t>
  </si>
  <si>
    <t>PRAYUDA MANOSO</t>
  </si>
  <si>
    <t>ELSA EKLESIA KATARINA SOLIN</t>
  </si>
  <si>
    <t>WIDIYA MANANGIN</t>
  </si>
  <si>
    <t>MILLENIA MEINY NATARI</t>
  </si>
  <si>
    <t>ERZA SAMPEBUA</t>
  </si>
  <si>
    <t>AMELIA SUPITH</t>
  </si>
  <si>
    <t>MUQBIL RAHMAT MALIKI</t>
  </si>
  <si>
    <t>STEFIA ZETVANYA MEYLIN WALANGITAN</t>
  </si>
  <si>
    <t>VIRGIAWAN REKZA PUTRA CHANDRA SOERONOTO</t>
  </si>
  <si>
    <t>RAFLY ADITYA ABUDU</t>
  </si>
  <si>
    <t>BRILIANTO FRANSISCUS TOTOPANDEY</t>
  </si>
  <si>
    <t>MOH ABIDIN KAABA</t>
  </si>
  <si>
    <t>MICHELLE GRACIA REPI</t>
  </si>
  <si>
    <t>MARLA VERONIKA KARUNDENG</t>
  </si>
  <si>
    <t>YOSEP HENDRIKO TITIRLOLOBI</t>
  </si>
  <si>
    <t>JOVANKA IMANUELA WUATEN</t>
  </si>
  <si>
    <t>SUKRIADI KAI</t>
  </si>
  <si>
    <t>RIONALDI WILLIAM MASSIE</t>
  </si>
  <si>
    <t>JEANE LIENNA FITHRIA MAMANGKEY</t>
  </si>
  <si>
    <t>BRAMWELL A KASAEDJA</t>
  </si>
  <si>
    <t>SRI ICHFANA HANIFTIO</t>
  </si>
  <si>
    <t>YEDIJA RANI KLARION MANOPPO</t>
  </si>
  <si>
    <t>INJILI A S MANGUNDAP</t>
  </si>
  <si>
    <t>WALLKER YONATHAN LEMBONG</t>
  </si>
  <si>
    <t>GREGORIUS MIGEL LONTAAN</t>
  </si>
  <si>
    <t>MAHENDRA MODIRONO</t>
  </si>
  <si>
    <t>SANIA JULITA SARI WAHYUDI</t>
  </si>
  <si>
    <t>STIVE SEVCHENKO LEONARD LOMBOGIA</t>
  </si>
  <si>
    <t>BAMBANG BOLOTA</t>
  </si>
  <si>
    <t>IFANNA DWI MALICA BININTA</t>
  </si>
  <si>
    <t>MOH SAHRUL SIKI</t>
  </si>
  <si>
    <t>VINCENT JEREMIAH TUMILAAR</t>
  </si>
  <si>
    <t>REGISTO DANIEL TAROREH</t>
  </si>
  <si>
    <t>DIFANTI REVALIA ANASTASYA</t>
  </si>
  <si>
    <t>ARENS KRISTIAMOS PAPARANG</t>
  </si>
  <si>
    <t>SINTYA CHRISTY</t>
  </si>
  <si>
    <t>FRANSISKUS BAGOS AJI RIHASTIAN</t>
  </si>
  <si>
    <t>CHREVITA JOULINA EVANCE</t>
  </si>
  <si>
    <t>WIRANTO NALOLE</t>
  </si>
  <si>
    <t>AMADEO JOSUA ROLANTO WATUSEKE</t>
  </si>
  <si>
    <t>APRILIA ANASTASYA TANI</t>
  </si>
  <si>
    <t>SALSA ALICIA MOKODONGAN</t>
  </si>
  <si>
    <t>RENATA TAALEMPUNGAN</t>
  </si>
  <si>
    <t>NI KETUT WINTARI</t>
  </si>
  <si>
    <t>TANYA ULANDARI RAHMAN</t>
  </si>
  <si>
    <t>NI MADE FEBRIANTI</t>
  </si>
  <si>
    <t>GERY PAHLEVI RAMADHAN</t>
  </si>
  <si>
    <t>RIVA PRASETYO</t>
  </si>
  <si>
    <t>JINGGA BILBINA</t>
  </si>
  <si>
    <t>ASYIFA MIFTAHUL AMALIA</t>
  </si>
  <si>
    <t>NURUL NANDA SEDEVIA</t>
  </si>
  <si>
    <t>NI LUH ANGGI CANTIKA DEWI</t>
  </si>
  <si>
    <t>IDA BAGUS PUTRA RAJENDRA</t>
  </si>
  <si>
    <t>I KETUT SUMANA PUTRA</t>
  </si>
  <si>
    <t>SILA NURUL HAKIKI</t>
  </si>
  <si>
    <t>SAHRUL ROPIN ALI</t>
  </si>
  <si>
    <t>NI NYOMAN WIDYANTARI PRAMESTI DEWI</t>
  </si>
  <si>
    <t>JULANG SULYSTIO WIBOWO</t>
  </si>
  <si>
    <t>PANDE PUTU DAMENDRA</t>
  </si>
  <si>
    <t>AGUS HERMAWAN</t>
  </si>
  <si>
    <t>NI WAYAN AYU PADMI WATI</t>
  </si>
  <si>
    <t>DANU ARMAN MAULANA</t>
  </si>
  <si>
    <t>LARASMA DEWI</t>
  </si>
  <si>
    <t>SEPTIN AULIANA PUTRI</t>
  </si>
  <si>
    <t>I GUSTI BAGUS GEDE PRANATA</t>
  </si>
  <si>
    <t>BEAUTI ANDIKA MARCHA ELSHA</t>
  </si>
  <si>
    <t>ARYAWAN DAVIAR</t>
  </si>
  <si>
    <t>MOHAMAD MUJADID MAHMUD</t>
  </si>
  <si>
    <t>NUNUK WAHYU WINARTI</t>
  </si>
  <si>
    <t>SUPIYAH PUTERI RAMDHANI</t>
  </si>
  <si>
    <t>GILANG DWI FATHUR RIZKI</t>
  </si>
  <si>
    <t>SHOBIBATUR AULIA</t>
  </si>
  <si>
    <t>YAHYA LUCKY TIRTOAJI</t>
  </si>
  <si>
    <t>DEWI INDAH NURDIANTI</t>
  </si>
  <si>
    <t>KRISNA IRDIAZ RAMADHAN</t>
  </si>
  <si>
    <t>ARDIANSYAH TEGUH SANTOSO</t>
  </si>
  <si>
    <t>JULIUS AGUNG SATRIA WIBOWO</t>
  </si>
  <si>
    <t>OKKYS DWI APRELIO PUTRA</t>
  </si>
  <si>
    <t>DIMAS ARIYANTO</t>
  </si>
  <si>
    <t>TIVANKA PRITI HERNANDA</t>
  </si>
  <si>
    <t>IRAWAN</t>
  </si>
  <si>
    <t>BUDI TRIATMOKO</t>
  </si>
  <si>
    <t>DYAH LANTIK ROSTINANTI</t>
  </si>
  <si>
    <t>HERLINA</t>
  </si>
  <si>
    <t>IVON LAKSMI DEWI</t>
  </si>
  <si>
    <t>SARI WIJAYANTI</t>
  </si>
  <si>
    <t>ALEK WIDI PRASETYA</t>
  </si>
  <si>
    <t>RYENA GYRANE BR PURBA</t>
  </si>
  <si>
    <t>ANSHAR SYAKA PRAWIRA</t>
  </si>
  <si>
    <t>RAKHA AGUNG PRATAMA</t>
  </si>
  <si>
    <t>NANDITA RATNA DEWI</t>
  </si>
  <si>
    <t>BINTA KAYYISA  HUMMAIRA</t>
  </si>
  <si>
    <t>ARVIO BAYU SAMUDRA</t>
  </si>
  <si>
    <t>NAZWA PUTRI ALICIA WICAKSONO</t>
  </si>
  <si>
    <t>NADYA AMALIA PUTRI</t>
  </si>
  <si>
    <t>FRESSITA RIDA PARAS ZAHIN</t>
  </si>
  <si>
    <t>HILDA OCTAVIA DEWI</t>
  </si>
  <si>
    <t>APRILIA WULAN MEGASARI</t>
  </si>
  <si>
    <t>SAMUEL RADITYA</t>
  </si>
  <si>
    <t>FILDZA NAURA FERDIAN</t>
  </si>
  <si>
    <t>VEGA PUTRI INDIANI</t>
  </si>
  <si>
    <t>FAREL ANINDITA ARTIKA PUTRI</t>
  </si>
  <si>
    <t>AMELIA DWI AYU ANGGRAINI</t>
  </si>
  <si>
    <t>NOVA JUNITA</t>
  </si>
  <si>
    <t>DHAVA ALIF RAMADHANI</t>
  </si>
  <si>
    <t>AUDREY GIVTA ENAQY</t>
  </si>
  <si>
    <t>ACHMAD DAHLAN</t>
  </si>
  <si>
    <t>WISNU CHANDRA TIRA</t>
  </si>
  <si>
    <t>KUSNO</t>
  </si>
  <si>
    <t>DJOKO ARMINANTO</t>
  </si>
  <si>
    <t>NATALIA CHRISMIATI</t>
  </si>
  <si>
    <t>ANYTA WIDJAJANTI</t>
  </si>
  <si>
    <t>TUMIYATI</t>
  </si>
  <si>
    <t>KHAIRUDDIN</t>
  </si>
  <si>
    <t>YULIE DWI KURNIASARI</t>
  </si>
  <si>
    <t>CAHYA DARMA OCEAN PUTRA</t>
  </si>
  <si>
    <t>MUHAMMAD NUR PURBA NISKALA</t>
  </si>
  <si>
    <t>YOLANDA VAREL GIBRAN ZHAKTI</t>
  </si>
  <si>
    <t>RAGIL RAMADHANI</t>
  </si>
  <si>
    <t>WAHYU BAGUS CAHYONO</t>
  </si>
  <si>
    <t>IQBAL HARIO SYAHPUTRA</t>
  </si>
  <si>
    <t>MUHAMMAD ROIZ HIDAYATULLAH</t>
  </si>
  <si>
    <t>DHALA MAULAN SADEWA</t>
  </si>
  <si>
    <t>NIKMATUR ROSIDA</t>
  </si>
  <si>
    <t>RAFI AHMAD JAIS</t>
  </si>
  <si>
    <t>CAHAYA AMSIR MUSLIMIN</t>
  </si>
  <si>
    <t>HANIA VALENTIN TRIANTI</t>
  </si>
  <si>
    <t>NISSA RACHMADEWANTI</t>
  </si>
  <si>
    <t>SUDIONO</t>
  </si>
  <si>
    <t>TRI BAGUS SAPUTRO</t>
  </si>
  <si>
    <t>EKO NUGROHO</t>
  </si>
  <si>
    <t>AGUS SETIAWAN</t>
  </si>
  <si>
    <t>SHELVI TYA NURANI</t>
  </si>
  <si>
    <t>GUIDO SILVESTER ADRIAN C</t>
  </si>
  <si>
    <t>FAULINA KURNIATI</t>
  </si>
  <si>
    <t>FAHRIZAL ADI KURNIA</t>
  </si>
  <si>
    <t>AVIO ADE SAPUTRA</t>
  </si>
  <si>
    <t>OKTAVIAN HERNU ADRIFAZA</t>
  </si>
  <si>
    <t>CELVIN FERDIANSYAH</t>
  </si>
  <si>
    <t>MAUREN BERLIAN APRILIA MAGDALENA</t>
  </si>
  <si>
    <t>MOCHAMAD SOLEHUDIN</t>
  </si>
  <si>
    <t>RIZKI ANDIKA NURHUDA</t>
  </si>
  <si>
    <t>SHINDY MADU OKTAVIA</t>
  </si>
  <si>
    <t>SHAFFAH AURA FELDASARI</t>
  </si>
  <si>
    <t>GEMILANG WAHYU BIMANTARA</t>
  </si>
  <si>
    <t>MUHAMMAD ARDI TRIANDA NASUTION</t>
  </si>
  <si>
    <t>MUHAMMAD REEHAN SULTAN J</t>
  </si>
  <si>
    <t>AIDA</t>
  </si>
  <si>
    <t>PRIYO SISWANTO</t>
  </si>
  <si>
    <t>MUKTI SALMAH</t>
  </si>
  <si>
    <t>ANAFAYATI</t>
  </si>
  <si>
    <t>ROCHMAT SUGIARTO</t>
  </si>
  <si>
    <t>SEPTI YANUHARDINI</t>
  </si>
  <si>
    <t>RIDO ARIAWAN</t>
  </si>
  <si>
    <t>LUKI CECYLIA ANDINI</t>
  </si>
  <si>
    <t>ZULHAM MAHMUDIN</t>
  </si>
  <si>
    <t>HANIF PRISMANTO</t>
  </si>
  <si>
    <t>BUNGA AYU DWI CAHYANI</t>
  </si>
  <si>
    <t>RADITYA PUNJUL WIKANTORO</t>
  </si>
  <si>
    <t>FACHRIYA ARIANI SALSABILA</t>
  </si>
  <si>
    <t>MUHAMMAD ALVIN JUANDA</t>
  </si>
  <si>
    <t>ELSA RIA FIRNANDA</t>
  </si>
  <si>
    <t>MASITA</t>
  </si>
  <si>
    <t>EKY FEBIOLA OMBONG</t>
  </si>
  <si>
    <t>DINDA AYU PUSPITA</t>
  </si>
  <si>
    <t>MARCELL RHADITYANSA</t>
  </si>
  <si>
    <t>MUHAMMAD UMAR HAFIZ</t>
  </si>
  <si>
    <t>NADILLA NOVA KRISANTI</t>
  </si>
  <si>
    <t>VITA AULIA SARI</t>
  </si>
  <si>
    <t>SUNDARI</t>
  </si>
  <si>
    <t>SUDIRO</t>
  </si>
  <si>
    <t>DWI RAHAYU SULISTYANINGSIH</t>
  </si>
  <si>
    <t>ABDI HANOTO</t>
  </si>
  <si>
    <t>SITI NURANI</t>
  </si>
  <si>
    <t>FERTA LILIA KURNIAWATIE</t>
  </si>
  <si>
    <t>DOMITILA SURJATMI</t>
  </si>
  <si>
    <t>WIRASTO WICAKSONO</t>
  </si>
  <si>
    <t>M SYAHYUDI AZIZ</t>
  </si>
  <si>
    <t>SETIA NINGRUM INDAH PERTIWI</t>
  </si>
  <si>
    <t>SASKIA KRISTY</t>
  </si>
  <si>
    <t>ABIL MUHAMMAD IQSAN</t>
  </si>
  <si>
    <t>YOLANDA TRI WAHYUNI AYU</t>
  </si>
  <si>
    <t>DIO HADI ISKANDAR</t>
  </si>
  <si>
    <t>CHUSNUL CHOTIMAH</t>
  </si>
  <si>
    <t>RADITYA ARYA SAPUTRA</t>
  </si>
  <si>
    <t>AISYAH SYAHRANI FEBRIANTI</t>
  </si>
  <si>
    <t>FITRI NUR AINI</t>
  </si>
  <si>
    <t>ARIEFIAN BAGUS PUTRA PRATAMA</t>
  </si>
  <si>
    <t>R YOVENTINUS SIGIT HENDARTA</t>
  </si>
  <si>
    <t>LUTFIA PUSPA NINGRUM</t>
  </si>
  <si>
    <t>ASTRID SELMA DHARMAWAN</t>
  </si>
  <si>
    <t>LINDO HARI SANDI</t>
  </si>
  <si>
    <t>BENIDICTUS HARI PURWOKO</t>
  </si>
  <si>
    <t>DANNY LESMANA</t>
  </si>
  <si>
    <t>ENDANG TRI WAHYUNI</t>
  </si>
  <si>
    <t>ANDYKA YUNI PRABOWO</t>
  </si>
  <si>
    <t>TITIN ANGGRAINI</t>
  </si>
  <si>
    <t>HANDRI WIRATNO</t>
  </si>
  <si>
    <t>ACSHELLA FEBRINA</t>
  </si>
  <si>
    <t>DELISA MEISAPUTRI</t>
  </si>
  <si>
    <t>DIYANG AYU PRAMESTI</t>
  </si>
  <si>
    <t>IGNATIUS JEFFREY RESNUADE</t>
  </si>
  <si>
    <t>YAGA TIAKA HALOMOAN ARITSI</t>
  </si>
  <si>
    <t>ANDY CHRISMAN SIANTURI</t>
  </si>
  <si>
    <t>ANISA NURCHOTIMAH</t>
  </si>
  <si>
    <t>TRIA PERMANA</t>
  </si>
  <si>
    <t>DARMAWAN</t>
  </si>
  <si>
    <t>DESNU RAMADHAN LESMANA</t>
  </si>
  <si>
    <t>MAULANA RAKADEWA PRATAMA</t>
  </si>
  <si>
    <t>ARJUNA TUMBUR ZEGEN SIAHAAN</t>
  </si>
  <si>
    <t>MIA ANDAYANI</t>
  </si>
  <si>
    <t>PONCO DWI PUTRA</t>
  </si>
  <si>
    <t>ERDIONA LOI ARGESTA</t>
  </si>
  <si>
    <t>TSABITA AVIDA HAYA</t>
  </si>
  <si>
    <t>THALITA ZULAEKA PUTRI AWARI</t>
  </si>
  <si>
    <t>ZHAVRILLIO NOERIZALANA IRLA</t>
  </si>
  <si>
    <t>ADITIA DWI PUTRA</t>
  </si>
  <si>
    <t>ARIEF TJAHYA ADI</t>
  </si>
  <si>
    <t>LUCIA NOVIANA SRI REJEKI</t>
  </si>
  <si>
    <t>TONY RONALD</t>
  </si>
  <si>
    <t>NICO LESNAU</t>
  </si>
  <si>
    <t>REDEMPTUS RUDY SETYAWAN</t>
  </si>
  <si>
    <t>SAUT MARUARAR HUTAGALUNG</t>
  </si>
  <si>
    <t>DANI ANDARI</t>
  </si>
  <si>
    <t>SINDY PUSPITA SARI</t>
  </si>
  <si>
    <t>LUKMAN YUSUF ZULFIKAR</t>
  </si>
  <si>
    <t>MIKO NUGROHO</t>
  </si>
  <si>
    <t>MHD RIZKY PERDANA PUTRA</t>
  </si>
  <si>
    <t>KRISTINA JUNIARTI</t>
  </si>
  <si>
    <t>DIPA LINAWATI</t>
  </si>
  <si>
    <t>RADEN RORO ISTI AJENG NURSHIVA</t>
  </si>
  <si>
    <t>AHMAD KHOIRUDIN</t>
  </si>
  <si>
    <t>MARIA ULFA</t>
  </si>
  <si>
    <t>TODDY ADI PRASETYO</t>
  </si>
  <si>
    <t>NOVITA RAHMAWATI</t>
  </si>
  <si>
    <t>LIGAR PRILIA</t>
  </si>
  <si>
    <t>SEKAR AYU ADISTI</t>
  </si>
  <si>
    <t>PUTRI HANDAYANI AGUSTINA</t>
  </si>
  <si>
    <t>EVA CHRISTINA FEBRIYANTI SIANIPAR</t>
  </si>
  <si>
    <t>TITIN SUMIYATI</t>
  </si>
  <si>
    <t>ERNI HARTININGSIH</t>
  </si>
  <si>
    <t>SHOLEKAN</t>
  </si>
  <si>
    <t>SULISTIYOWATI</t>
  </si>
  <si>
    <t>SRI KUN SAYEKTININGSIH</t>
  </si>
  <si>
    <t>Y INNEKE HANDAYANI</t>
  </si>
  <si>
    <t>SYAIPUL BAHRI</t>
  </si>
  <si>
    <t>INDRASTUTI IKA SARI DEWI</t>
  </si>
  <si>
    <t>LEONARDUS YARIS SEBASTIAN</t>
  </si>
  <si>
    <t>IGN HERI DARMAWAN</t>
  </si>
  <si>
    <t>PRASASYA LARASWATI GAMBIRO</t>
  </si>
  <si>
    <t>MUHAMMAD HAWARI IBADILLAH</t>
  </si>
  <si>
    <t>I DEWA GAVIN DZAMEER PRADYPTA</t>
  </si>
  <si>
    <t>NADEA ALMIRA AISHA</t>
  </si>
  <si>
    <t>AHMAD RIYADHIL HADI</t>
  </si>
  <si>
    <t>HANNAN HAFIZH RIZQ</t>
  </si>
  <si>
    <t>NADYA PUTRI SALSABILA</t>
  </si>
  <si>
    <t>YASMIN MAULA SYIFA</t>
  </si>
  <si>
    <t>ARKI TRI PUTRA</t>
  </si>
  <si>
    <t>THALLA SYAIKHA ZAKIRA</t>
  </si>
  <si>
    <t>ZAHRANI JATI HIDAYAH</t>
  </si>
  <si>
    <t>VEGA ZUHRA HANIFA</t>
  </si>
  <si>
    <t>ALLYA SHAFIRA VIZZARDHY</t>
  </si>
  <si>
    <t>IVAN RIZKY SASONGKO</t>
  </si>
  <si>
    <t>WEDHA STRATESTI YUDHA</t>
  </si>
  <si>
    <t>FARAH RIZKI</t>
  </si>
  <si>
    <t>INTAN FITRI ANGGRAINI</t>
  </si>
  <si>
    <t>RR ADINDA AULIA RIZTHIA</t>
  </si>
  <si>
    <t>IMMACULATA ADHISTA</t>
  </si>
  <si>
    <t>RAPHAEL WREGAS BHANUTEJA</t>
  </si>
  <si>
    <t>NADYA SHAHNAZ SYAHPUTRI</t>
  </si>
  <si>
    <t>EUNIKE GRACIA METI RIBA</t>
  </si>
  <si>
    <t>SEKAR OZORA NOOR MAIRAS</t>
  </si>
  <si>
    <t>SHULIYA INDRIYA RATANAVARA</t>
  </si>
  <si>
    <t>NARANDITA ZAHRA</t>
  </si>
  <si>
    <t>KATHLEEN RUTH WIJAYA</t>
  </si>
  <si>
    <t>ALIFA NISA FADILA</t>
  </si>
  <si>
    <t>SAFIRA INCAHANESYA</t>
  </si>
  <si>
    <t>RIZKI DEWANTORO</t>
  </si>
  <si>
    <t>WIENNY SISKA RAHMAWATI</t>
  </si>
  <si>
    <t>SYIFA NOVIRA</t>
  </si>
  <si>
    <t>FRITI ANIFA</t>
  </si>
  <si>
    <t>NURUL AINUL MAWA</t>
  </si>
  <si>
    <t>NONI PERMATA SARI</t>
  </si>
  <si>
    <t>RAMIZA PUTRA</t>
  </si>
  <si>
    <t>PUTERI NAJLAH MEYLANI</t>
  </si>
  <si>
    <t>NATASHA ANGELINE SANTOSO</t>
  </si>
  <si>
    <t>FARREN ATHASARI</t>
  </si>
  <si>
    <t>PAULUS EKO NUGROHO</t>
  </si>
  <si>
    <t>MELVI</t>
  </si>
  <si>
    <t>HETIH RUSLI</t>
  </si>
  <si>
    <t>IDA BAGUS KADE SYUMANJAYA</t>
  </si>
  <si>
    <t>HERTY DAMEYANTI SINAGA</t>
  </si>
  <si>
    <t>YUSTINUS WAHYU RAHARJO</t>
  </si>
  <si>
    <t>SRY RAHAYU S</t>
  </si>
  <si>
    <t>BOAZ SOEBROTO</t>
  </si>
  <si>
    <t>IDY SETIADI</t>
  </si>
  <si>
    <t>WIJAYA WARDHANA</t>
  </si>
  <si>
    <t>ENDRIK TIUS DANU Y</t>
  </si>
  <si>
    <t>THREESNA SETYADY</t>
  </si>
  <si>
    <t>TRI BAYU RIATMADI</t>
  </si>
  <si>
    <t>ABDUL LATIEF</t>
  </si>
  <si>
    <t>PRIYO HARDIAN NUGROHO</t>
  </si>
  <si>
    <t>YOHANES PAMILARTO</t>
  </si>
  <si>
    <t>SUPRAPTO</t>
  </si>
  <si>
    <t>SUROTO</t>
  </si>
  <si>
    <t>MARINI</t>
  </si>
  <si>
    <t>DONI ABDILLAH SIREGAR</t>
  </si>
  <si>
    <t>DWI SUSANTO</t>
  </si>
  <si>
    <t>JOKO SUMARSONO</t>
  </si>
  <si>
    <t>HENRY WIBOWO</t>
  </si>
  <si>
    <t>FREDERICA INDRAWATI</t>
  </si>
  <si>
    <t>STEPANUS SUDARMONO</t>
  </si>
  <si>
    <t>MUCHAMMAD FAUZI</t>
  </si>
  <si>
    <t>YONI TRI KUSHENDARTO</t>
  </si>
  <si>
    <t>PRISCILLA PERDANA PUTRI</t>
  </si>
  <si>
    <t>MARTINUS HERIS HIMAWAN</t>
  </si>
  <si>
    <t>WISNU DEWA ADJI MARYADI</t>
  </si>
  <si>
    <t>DESI KARTIKA SARI</t>
  </si>
  <si>
    <t>YULISTIAN NURUL KUSUMAH</t>
  </si>
  <si>
    <t>ANGGA NUR HANDIKA</t>
  </si>
  <si>
    <t>NADIA AZKA FIKRIA</t>
  </si>
  <si>
    <t>YUSUF UNGGUL BUDIMAN</t>
  </si>
  <si>
    <t>ALIFA RISMAYANTI NUR MUHAMMAD</t>
  </si>
  <si>
    <t>AZRA SALSABILA RITONGA</t>
  </si>
  <si>
    <t>ALESSANDRO</t>
  </si>
  <si>
    <t>ALYA FAZA NOOR FADHYA</t>
  </si>
  <si>
    <t>AULIA RAHMA QONITA</t>
  </si>
  <si>
    <t>REGINA TOFANI GADASATRIAPUTRI</t>
  </si>
  <si>
    <t>LILI SURYANI</t>
  </si>
  <si>
    <t>IWA KUSUMA SURYADI</t>
  </si>
  <si>
    <t>ENDANG WAHYUNINGSIH</t>
  </si>
  <si>
    <t>MERCURIUS HENDRO SUSANTO</t>
  </si>
  <si>
    <t>ANGGRAHINI TRIJANA FATIMAH</t>
  </si>
  <si>
    <t>AGUSTINA DEWI RATRI PROKLAMASI</t>
  </si>
  <si>
    <t>TRIYONO</t>
  </si>
  <si>
    <t>JOKO SUSANTO</t>
  </si>
  <si>
    <t>SUGIRI</t>
  </si>
  <si>
    <t>SRI SUNDORO</t>
  </si>
  <si>
    <t>TRI AGUS PURWANTO</t>
  </si>
  <si>
    <t>PETRUS SUKIJAN</t>
  </si>
  <si>
    <t>SLAMET SUDIYONO</t>
  </si>
  <si>
    <t>SIGIT HANDOKO</t>
  </si>
  <si>
    <t>HERY SETIAWAN</t>
  </si>
  <si>
    <t>BASUKI WIDYARSO</t>
  </si>
  <si>
    <t>JOHANDRI PUTRANTO</t>
  </si>
  <si>
    <t>TRI JEKI CENDRA LESTARI</t>
  </si>
  <si>
    <t>TUNTI DESIANI</t>
  </si>
  <si>
    <t>TEGUH SETIAJI</t>
  </si>
  <si>
    <t>YUNIRA NOOR RACHMAH</t>
  </si>
  <si>
    <t>NANANG SYAFII</t>
  </si>
  <si>
    <t>YUSTIAN PRISTANTYO</t>
  </si>
  <si>
    <t>THOMAS ADRIAN FEBRIANTO</t>
  </si>
  <si>
    <t>RATU UPISIKA MAHA MISI</t>
  </si>
  <si>
    <t>NAZHIRA SARFINA</t>
  </si>
  <si>
    <t>MG MARIA FRENANDY NGESTININGTYAS</t>
  </si>
  <si>
    <t>AGATA MEIKA VITRIANI</t>
  </si>
  <si>
    <t>VERONIKA HOAR KLAU</t>
  </si>
  <si>
    <t>JERRY ANTHONIO F UDAMPO</t>
  </si>
  <si>
    <t>EDDIE SUKMADJI</t>
  </si>
  <si>
    <t>HARRISKA FARIDA ADIATI</t>
  </si>
  <si>
    <t>CINTYA ARSYA PRADIPTA</t>
  </si>
  <si>
    <t>ADASSA ELISHEBA MANOPPO</t>
  </si>
  <si>
    <t>LUH SRI INTAN APRIANI</t>
  </si>
  <si>
    <t>PEBRINA PUTRI</t>
  </si>
  <si>
    <t>PUTERI CIKAL ANASTA</t>
  </si>
  <si>
    <t>ALOISIUS JERRY</t>
  </si>
  <si>
    <t>SUTANTY LESMANA</t>
  </si>
  <si>
    <t>MARIA MARDININGSIH</t>
  </si>
  <si>
    <t>ANNA EVITA ROSARIA</t>
  </si>
  <si>
    <t>VERONICA FEBRANIA WULANDARI</t>
  </si>
  <si>
    <t>DINIARTY PANDIA</t>
  </si>
  <si>
    <t>SISKA YUANITA</t>
  </si>
  <si>
    <t>ERAWATI DIAN ANGGRAENI</t>
  </si>
  <si>
    <t>NINA ANDIANA</t>
  </si>
  <si>
    <t>MARIA ANASTASIA ANGGRAINI NURNAWASTI</t>
  </si>
  <si>
    <t>KARTIKA EKA NURININDITA</t>
  </si>
  <si>
    <t>DIDIET PRIHASTUTI</t>
  </si>
  <si>
    <t>JULIANA TAN</t>
  </si>
  <si>
    <t>MIFTAH FARID</t>
  </si>
  <si>
    <t>RUTH PRISCILIA ANGELINA</t>
  </si>
  <si>
    <t>CHRISTIE PUTRI WARDHANI</t>
  </si>
  <si>
    <t>VANIA ADINDA MARIA RISO</t>
  </si>
  <si>
    <t>KARINA ANJANI RUSLI</t>
  </si>
  <si>
    <t>CLAUDIA PUTRI</t>
  </si>
  <si>
    <t>BAYU DEDEN PRIANA</t>
  </si>
  <si>
    <t>SILVIA MAULIDA SETYAWAN</t>
  </si>
  <si>
    <t>GABRIELLE PUTRI SITTA</t>
  </si>
  <si>
    <t>FELICIA RATNASARI SOEDJIANTO</t>
  </si>
  <si>
    <t>GRACIA YOLANDA PUTRI</t>
  </si>
  <si>
    <t>TSANA LAUDZA</t>
  </si>
  <si>
    <t>VALENTINA WIKAN RETNA DEWANTI</t>
  </si>
  <si>
    <t>INDRIATI LYSTIANI HIDAJAT</t>
  </si>
  <si>
    <t>IMMANUEL VICTORIAN NAFFI</t>
  </si>
  <si>
    <t>FEBRINA FIALITA</t>
  </si>
  <si>
    <t>MIRNA YULISTIANTI</t>
  </si>
  <si>
    <t>FITRI JUNIAR</t>
  </si>
  <si>
    <t>RATU FORTUNATA RAHMI P</t>
  </si>
  <si>
    <t>RYAN PRADANA</t>
  </si>
  <si>
    <t>SUPRIANTO</t>
  </si>
  <si>
    <t>NADIRA YASMINE ASSAGAF</t>
  </si>
  <si>
    <t>NIKEN SARTIKA RACHMADI</t>
  </si>
  <si>
    <t>UBALDUS VIGO MILANDI</t>
  </si>
  <si>
    <t>HUGO HARDIANTO WIJAYA</t>
  </si>
  <si>
    <t>MULYONO</t>
  </si>
  <si>
    <t>MAHATHIR MUHAMMAD</t>
  </si>
  <si>
    <t>RAKHMI INAS RAMADHANI</t>
  </si>
  <si>
    <t>RISA PURNAMA</t>
  </si>
  <si>
    <t>FAUJIAH</t>
  </si>
  <si>
    <t>WASKITA CAHYA SUBEKTI</t>
  </si>
  <si>
    <t>MUHAMAD LUTHFI</t>
  </si>
  <si>
    <t>INTAN NOVELA SETYA MONIKASARI</t>
  </si>
  <si>
    <t>DWI MARTINA DEWI</t>
  </si>
  <si>
    <t>MARHAENDRA KARANG AJI</t>
  </si>
  <si>
    <t>EDLA FANNY ARDYA PUTRI</t>
  </si>
  <si>
    <t>JEANIN DUVADILLAN VAZELA</t>
  </si>
  <si>
    <t>SALMA NABILLA</t>
  </si>
  <si>
    <t>AUDRIE AULIA FEBRIANI</t>
  </si>
  <si>
    <t>BEBYD NOVERIANTO</t>
  </si>
  <si>
    <t>ESTHER MEYLINA</t>
  </si>
  <si>
    <t>DIANE NOVITA</t>
  </si>
  <si>
    <t>ALBERTUS AGUNG PURWANA SUGIHARTA</t>
  </si>
  <si>
    <t>MIRA RAINAYATI</t>
  </si>
  <si>
    <t>ADI PRAMONO</t>
  </si>
  <si>
    <t>YAYI DEWINTYA MURNI</t>
  </si>
  <si>
    <t>MARTINUS ADINTO FAJAR SUSANTO</t>
  </si>
  <si>
    <t>EKO SETIAWAN</t>
  </si>
  <si>
    <t>CICILIA PRIMASARI MURHARJANTI</t>
  </si>
  <si>
    <t>TRI YULI KURNIAWATI</t>
  </si>
  <si>
    <t>CINDY KUS UNTARI</t>
  </si>
  <si>
    <t>LINDA IRAWATI</t>
  </si>
  <si>
    <t>TRIAN LESMANA</t>
  </si>
  <si>
    <t>KHAIRUN NISA</t>
  </si>
  <si>
    <t>G ALFONS DALO LAMAK</t>
  </si>
  <si>
    <t>M RONNY HARIMAN T</t>
  </si>
  <si>
    <t>STIZA XANIA SJAHPUTRI</t>
  </si>
  <si>
    <t>CLARA AJENG PALUPI</t>
  </si>
  <si>
    <t>RAFAEL JAROT YUDOPRATOMO</t>
  </si>
  <si>
    <t>CHAERUNNISA LATIFAH</t>
  </si>
  <si>
    <t>NIFFARI GADING WICAKSONO</t>
  </si>
  <si>
    <t>CHRISTINA MARIA UDIANI</t>
  </si>
  <si>
    <t>WENDIE ARTSWENDA</t>
  </si>
  <si>
    <t>CANDRA GAUTAMA</t>
  </si>
  <si>
    <t>ESTHELA YEANETTE KAWATU</t>
  </si>
  <si>
    <t>ANDYA PRIMANDA</t>
  </si>
  <si>
    <t>PRADIKHA BESTARI</t>
  </si>
  <si>
    <t>ANIDA NURRAHMI</t>
  </si>
  <si>
    <t>TEGUH TRI ERDYAN</t>
  </si>
  <si>
    <t>KATRINE GABBY KUSUMA</t>
  </si>
  <si>
    <t>VEBRIANI</t>
  </si>
  <si>
    <t>GALANG AJI PUTRO</t>
  </si>
  <si>
    <t>SILVIANA DHARMA</t>
  </si>
  <si>
    <t>SAUSAN RIDA FADHILAH</t>
  </si>
  <si>
    <t>TEGUH AFANDI</t>
  </si>
  <si>
    <t>PINAHAYU PARVATI</t>
  </si>
  <si>
    <t>INING ISAIYAS</t>
  </si>
  <si>
    <t>ALPHA HAMBALLY</t>
  </si>
  <si>
    <t>REGA RAZIB MOCHAMAD JOHARA</t>
  </si>
  <si>
    <t>GRACELLA MAHALNA PUTRI TAMBA</t>
  </si>
  <si>
    <t>PENTI APRIANTI</t>
  </si>
  <si>
    <t>ELFRIDA SIRAIT</t>
  </si>
  <si>
    <t>M RINI SUKESTI</t>
  </si>
  <si>
    <t>CATHARINA DWIYANTI WULANSARI</t>
  </si>
  <si>
    <t>MICHELLE MARIA</t>
  </si>
  <si>
    <t>KUNY IMROATUM MUTIAH</t>
  </si>
  <si>
    <t>YOSEFINE ENDANG PERTIWI PANGESTUTI</t>
  </si>
  <si>
    <t>PUJI SETIAWATI WIJAYA</t>
  </si>
  <si>
    <t>GREGORIUS PAX BENEDANTO</t>
  </si>
  <si>
    <t>ANDI TARIGAN</t>
  </si>
  <si>
    <t>TRIYA DWI PUTRANTI</t>
  </si>
  <si>
    <t>SITI NUR HALIZAH</t>
  </si>
  <si>
    <t>SINTA YUNITA</t>
  </si>
  <si>
    <t>LAILY NURFAUZIYAH</t>
  </si>
  <si>
    <t>ANISA TRIANA YUSTIANDANI</t>
  </si>
  <si>
    <t>DINDA DOLA PUTRI AGWINITA</t>
  </si>
  <si>
    <t>NAULIA ZAHRA</t>
  </si>
  <si>
    <t>AGUS SALIM</t>
  </si>
  <si>
    <t>SRI SUMARYATUN</t>
  </si>
  <si>
    <t>MINARNI</t>
  </si>
  <si>
    <t>AGNES MARLINA</t>
  </si>
  <si>
    <t>ASTERIA RENNY HERMIATIN</t>
  </si>
  <si>
    <t>SRI NURHAYATI</t>
  </si>
  <si>
    <t>MOHAMAD TRI ACHYUBI</t>
  </si>
  <si>
    <t>HENRY SUSILO</t>
  </si>
  <si>
    <t>FEBBY ISMIYATI</t>
  </si>
  <si>
    <t>MARETTA GUNAWAN</t>
  </si>
  <si>
    <t>DIAN RAKHMAWATI SUMARSANA</t>
  </si>
  <si>
    <t>ANGELIN LITA</t>
  </si>
  <si>
    <t>HERNA SELVIA PARASTICA SIREGAR</t>
  </si>
  <si>
    <t>NOVALYA PUTRI</t>
  </si>
  <si>
    <t>DEWA AYU SWARATRI</t>
  </si>
  <si>
    <t>ANGELINA SETIAWAN</t>
  </si>
  <si>
    <t>DINA CHANDRA</t>
  </si>
  <si>
    <t>AGNES VIDITA ARUNDATI</t>
  </si>
  <si>
    <t>NAMIRA PUTRI YUDHITASARI</t>
  </si>
  <si>
    <t>NIKEN AYU PUTRI</t>
  </si>
  <si>
    <t>AMORI ELIAB</t>
  </si>
  <si>
    <t>FADILATUL RAHMA</t>
  </si>
  <si>
    <t>NURAZIZAH ZULIYANTI</t>
  </si>
  <si>
    <t>RAFIKA WAHYU ANDANI</t>
  </si>
  <si>
    <t>KANIA NABILA FAJRIANTI</t>
  </si>
  <si>
    <t>AINUSSHOFA RAHMATIAH</t>
  </si>
  <si>
    <t>REYNISSA ALFATH</t>
  </si>
  <si>
    <t>ANDREW KRISTIANTO ROBERT</t>
  </si>
  <si>
    <t>BUDIYANA</t>
  </si>
  <si>
    <t>PAULINA DEWANTI OSMAN</t>
  </si>
  <si>
    <t>ADRIANA DWI SURYANDARI</t>
  </si>
  <si>
    <t>OKTRIN SIMANJUNTAK</t>
  </si>
  <si>
    <t>VINCENTIUS SUGENG HARDOJO</t>
  </si>
  <si>
    <t>RINA KUSUMAWATI AGATA</t>
  </si>
  <si>
    <t>YULIAN MASDA</t>
  </si>
  <si>
    <t>HELENA HERUNINGSIH DRIARTHA VERA</t>
  </si>
  <si>
    <t>YOKE YULIANA</t>
  </si>
  <si>
    <t>SETIAWAN SISWANTO</t>
  </si>
  <si>
    <t>IKMAL ALDWINSYAH</t>
  </si>
  <si>
    <t>WHINDY YOEVESTIAN OTENG</t>
  </si>
  <si>
    <t>MARINA ARIYANI</t>
  </si>
  <si>
    <t>MURSYIDAH ANWAR</t>
  </si>
  <si>
    <t>HAYATI APRILIA WIRAHMA</t>
  </si>
  <si>
    <t>NURSITO LUKY ANDARI</t>
  </si>
  <si>
    <t>AFRIANTY PARDEDE</t>
  </si>
  <si>
    <t>FIDYASTRIA SASPIDA</t>
  </si>
  <si>
    <t>GRACE ROSY SITUNGKIR</t>
  </si>
  <si>
    <t>ANI NURAINI SYAHARA</t>
  </si>
  <si>
    <t>SHAFIRA AMANITA</t>
  </si>
  <si>
    <t>MARCIA GABRIELLA SADEWA PARERA</t>
  </si>
  <si>
    <t>MARIA LUSIA ANINDYA LARASATI</t>
  </si>
  <si>
    <t>OKTIVIA HANDAYANI PUJIANTANA</t>
  </si>
  <si>
    <t>HEDIANSYAH</t>
  </si>
  <si>
    <t>DENI NUGRAHA RAHMAN</t>
  </si>
  <si>
    <t>JARWATI</t>
  </si>
  <si>
    <t>DIONISIA GUSDA PRIMADITA PUTRI</t>
  </si>
  <si>
    <t>DEWI BESTARI</t>
  </si>
  <si>
    <t>BIMO LOGO PRIBADIANTO</t>
  </si>
  <si>
    <t>RACHMAT FAJAR PRASETYO</t>
  </si>
  <si>
    <t>IRFAN AFIANSA SUCIPTO</t>
  </si>
  <si>
    <t>EMANUEL KRISNA K KEBAN</t>
  </si>
  <si>
    <t>MATTHEW ALEXANDER WILLIAM FENAT</t>
  </si>
  <si>
    <t>MUHAMMAD GHULAM MANNANI</t>
  </si>
  <si>
    <t>GITA PURNAMA SARI SINAGA</t>
  </si>
  <si>
    <t>TAMARA GERALDINE SUDYAT</t>
  </si>
  <si>
    <t>JORDI LUKMAN</t>
  </si>
  <si>
    <t>KEVIN AUGI</t>
  </si>
  <si>
    <t>BINARTI KUSUMANINGTYAS</t>
  </si>
  <si>
    <t>RATNASARI</t>
  </si>
  <si>
    <t>ASTUTI PRALESTARI</t>
  </si>
  <si>
    <t>R PUGUH HARTANTO</t>
  </si>
  <si>
    <t>HERIBERTUS JOKO WIBOWO</t>
  </si>
  <si>
    <t>HERU LESMANA</t>
  </si>
  <si>
    <t>DINDA VIRIA NURSEKAR ASRI</t>
  </si>
  <si>
    <t>FAIZAL</t>
  </si>
  <si>
    <t>FLORENTINA DWI O SARTIKA</t>
  </si>
  <si>
    <t>ERSON</t>
  </si>
  <si>
    <t>VONNY UTAMI</t>
  </si>
  <si>
    <t>NIA IKASARY</t>
  </si>
  <si>
    <t>MUSTIKA ARUM WARNASIH</t>
  </si>
  <si>
    <t>FITRI ANNISA</t>
  </si>
  <si>
    <t>NIKEN DJOKOSURATNO SURATMAN</t>
  </si>
  <si>
    <t>INE MARTIANA KURNIAWATI</t>
  </si>
  <si>
    <t>KATARINA HYASINTA CHANDRA</t>
  </si>
  <si>
    <t>LOIS ARNANDO</t>
  </si>
  <si>
    <t>ADISTI TRI ANDALIA</t>
  </si>
  <si>
    <t>JEANNE</t>
  </si>
  <si>
    <t>SERYAN WIRA GANDA</t>
  </si>
  <si>
    <t>D TYAGITA AYUNINGTYAS</t>
  </si>
  <si>
    <t>AYOGA NANDA RESTU SATYA P</t>
  </si>
  <si>
    <t>NATALIA WINDI STEVANI</t>
  </si>
  <si>
    <t>FERDIAN MUHAMMAD NOVALDISYAH</t>
  </si>
  <si>
    <t>NATALIA DESIANTI TANZIL</t>
  </si>
  <si>
    <t>CANDRA RAKHMASARI</t>
  </si>
  <si>
    <t>RAIHAN AULIA RAMADHAN</t>
  </si>
  <si>
    <t>FRISKA NUR CAHYANI</t>
  </si>
  <si>
    <t>KEVIN MARRENT NATIGOR SIAGIAN</t>
  </si>
  <si>
    <t>NABILA ADRISTI PURBOYO</t>
  </si>
  <si>
    <t>R M BRANDON HANANTA S N</t>
  </si>
  <si>
    <t>JUAN HADRIANUS</t>
  </si>
  <si>
    <t>MEIRNA LARASATI</t>
  </si>
  <si>
    <t>FANESA RIZQA ERLA NAHATI</t>
  </si>
  <si>
    <t>KHARIDA KHANSA AL FATHYA</t>
  </si>
  <si>
    <t>LUTHFAN AUZAN RAMADHANA</t>
  </si>
  <si>
    <t>VALENTINA PRAMAHITA ISWARI</t>
  </si>
  <si>
    <t>SHAFA NATASYAH SALSABILA</t>
  </si>
  <si>
    <t>SHELDA DIVA PRAGITA</t>
  </si>
  <si>
    <t>AJI YUDOTOMO</t>
  </si>
  <si>
    <t>FARRAS HILMY ARNANDO</t>
  </si>
  <si>
    <t>LENNY</t>
  </si>
  <si>
    <t>HELSA EVELYN SETIAWAN</t>
  </si>
  <si>
    <t>SILVANY AYUNINGRUM</t>
  </si>
  <si>
    <t>MAHARATU PINKANEYSYA ZOHRA P P</t>
  </si>
  <si>
    <t>DIFFIANA CHYNTIANI</t>
  </si>
  <si>
    <t>VINCENTIUS AGUNG PRASETYO W</t>
  </si>
  <si>
    <t>BENEDICTA HANNY HARTONO</t>
  </si>
  <si>
    <t>DEA FABRIANNE ZAHIRAH</t>
  </si>
  <si>
    <t>PUTU SASRI STHITI DHANESWARA</t>
  </si>
  <si>
    <t>PUTRI NABILAH SALMA SALSABILA</t>
  </si>
  <si>
    <t>ACHMAD SUBANDI</t>
  </si>
  <si>
    <t>SUZANA SUJARINI</t>
  </si>
  <si>
    <t>OKTA RISTIAWAN</t>
  </si>
  <si>
    <t>HENRIKUS ARIYANTO</t>
  </si>
  <si>
    <t>BENNY SETIAWAN</t>
  </si>
  <si>
    <t>VIDYA PRAWITASARI</t>
  </si>
  <si>
    <t>CICILIA TJANDRA</t>
  </si>
  <si>
    <t>AHMAD IHSAN</t>
  </si>
  <si>
    <t>MARIA YOLANDA ANDYA PUTRI</t>
  </si>
  <si>
    <t>ASTRIED MAULIDYA</t>
  </si>
  <si>
    <t>ANDRIAN STEVEN</t>
  </si>
  <si>
    <t>PETRUS FINSENSIO MUSACARLOS GRADIANS</t>
  </si>
  <si>
    <t>CENTIA SYAFIRA</t>
  </si>
  <si>
    <t>NONI MIRA TIMOTIUS</t>
  </si>
  <si>
    <t>SALSABI</t>
  </si>
  <si>
    <t>LAURENTIUS ADHYAKSA EKATAMA</t>
  </si>
  <si>
    <t>YACOBUS PRIYO UTOMO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</si>
</sst>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43" formatCode="_(* #,##0.00_);_(* \(#,##0.00\);_(* &quot;-&quot;??_);_(@_)"/>
    <numFmt numFmtId="164" formatCode="dd/mmm/yyyy\ dddd"/>
    <numFmt numFmtId="165" formatCode="[$-409]d\-mmm\-yy;@"/>
    <numFmt numFmtId="166" formatCode="_(* #,##0_);_(* \(#,##0\);_(* &quot;-&quot;??_);_(@_)"/>
    <numFmt numFmtId="167" formatCode="[$-409]d/mmm/yy;@"/>
    <numFmt numFmtId="168" formatCode="mm/dd/yy;@"/>
    <numFmt numFmtId="169" formatCode="m/d/yy;@"/>
    <numFmt numFmtId="170" formatCode="00000"/>
    <numFmt numFmtId="171" formatCode="dd/mmm/yyyy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EE00"/>
        <bgColor indexed="64"/>
      </patternFill>
    </fill>
  </fills>
  <borders count="5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43" fontId="1" fillId="0" borderId="0"/>
  </cellStyleXfs>
  <cellXfs count="198">
    <xf numFmtId="0" fontId="0" fillId="0" borderId="0" xfId="0"/>
    <xf numFmtId="49" fontId="3" fillId="0" borderId="0" xfId="1" applyNumberFormat="1" applyFont="1" applyAlignment="1">
      <alignment horizontal="center"/>
    </xf>
    <xf numFmtId="164" fontId="4" fillId="0" borderId="0" xfId="1" applyNumberFormat="1" applyFont="1" applyAlignment="1">
      <alignment horizontal="left"/>
    </xf>
    <xf numFmtId="165" fontId="3" fillId="0" borderId="0" xfId="1" applyNumberFormat="1" applyFont="1"/>
    <xf numFmtId="165" fontId="5" fillId="0" borderId="0" xfId="1" applyNumberFormat="1" applyFont="1"/>
    <xf numFmtId="0" fontId="3" fillId="0" borderId="0" xfId="1" applyFont="1"/>
    <xf numFmtId="166" fontId="6" fillId="0" borderId="0" xfId="2" applyNumberFormat="1" applyFont="1"/>
    <xf numFmtId="165" fontId="4" fillId="0" borderId="0" xfId="1" applyNumberFormat="1" applyFont="1" applyAlignment="1">
      <alignment vertical="center"/>
    </xf>
    <xf numFmtId="49" fontId="7" fillId="0" borderId="0" xfId="1" applyNumberFormat="1" applyFont="1" applyAlignment="1">
      <alignment horizontal="center"/>
    </xf>
    <xf numFmtId="164" fontId="7" fillId="0" borderId="0" xfId="1" applyNumberFormat="1" applyFont="1" applyAlignment="1">
      <alignment horizontal="left"/>
    </xf>
    <xf numFmtId="165" fontId="8" fillId="0" borderId="0" xfId="1" applyNumberFormat="1" applyFont="1"/>
    <xf numFmtId="165" fontId="7" fillId="0" borderId="0" xfId="1" applyNumberFormat="1" applyFont="1"/>
    <xf numFmtId="0" fontId="7" fillId="0" borderId="0" xfId="1" applyFont="1" applyAlignment="1">
      <alignment horizontal="center" vertical="center"/>
    </xf>
    <xf numFmtId="0" fontId="7" fillId="0" borderId="0" xfId="2" applyNumberFormat="1" applyFont="1" applyAlignment="1">
      <alignment horizontal="center" vertical="center"/>
    </xf>
    <xf numFmtId="0" fontId="7" fillId="0" borderId="0" xfId="1" applyFont="1"/>
    <xf numFmtId="166" fontId="7" fillId="0" borderId="0" xfId="2" applyNumberFormat="1" applyFont="1"/>
    <xf numFmtId="167" fontId="7" fillId="0" borderId="0" xfId="1" applyNumberFormat="1" applyFont="1" applyAlignment="1">
      <alignment horizontal="center" vertical="center"/>
    </xf>
    <xf numFmtId="166" fontId="7" fillId="0" borderId="0" xfId="2" applyNumberFormat="1" applyFont="1" applyAlignment="1">
      <alignment horizontal="center"/>
    </xf>
    <xf numFmtId="41" fontId="7" fillId="0" borderId="0" xfId="1" applyNumberFormat="1" applyFont="1" applyAlignment="1">
      <alignment horizontal="center"/>
    </xf>
    <xf numFmtId="0" fontId="7" fillId="0" borderId="8" xfId="1" applyFont="1" applyBorder="1" applyAlignment="1">
      <alignment horizontal="center" vertical="center"/>
    </xf>
    <xf numFmtId="0" fontId="7" fillId="0" borderId="46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165" fontId="3" fillId="0" borderId="2" xfId="1" applyNumberFormat="1" applyFont="1" applyBorder="1" applyAlignment="1">
      <alignment horizontal="center" vertical="center"/>
    </xf>
    <xf numFmtId="165" fontId="3" fillId="0" borderId="3" xfId="1" applyNumberFormat="1" applyFont="1" applyBorder="1" applyAlignment="1">
      <alignment horizontal="center" vertical="center"/>
    </xf>
    <xf numFmtId="0" fontId="3" fillId="0" borderId="3" xfId="2" applyNumberFormat="1" applyFont="1" applyBorder="1" applyAlignment="1">
      <alignment horizontal="center" vertical="center"/>
    </xf>
    <xf numFmtId="166" fontId="3" fillId="0" borderId="4" xfId="2" applyNumberFormat="1" applyFont="1" applyBorder="1" applyAlignment="1">
      <alignment horizontal="center" vertical="center"/>
    </xf>
    <xf numFmtId="0" fontId="3" fillId="0" borderId="4" xfId="2" applyNumberFormat="1" applyFont="1" applyBorder="1" applyAlignment="1">
      <alignment horizontal="center" vertical="center"/>
    </xf>
    <xf numFmtId="167" fontId="3" fillId="0" borderId="4" xfId="1" applyNumberFormat="1" applyFont="1" applyBorder="1" applyAlignment="1">
      <alignment horizontal="center" vertical="center"/>
    </xf>
    <xf numFmtId="166" fontId="3" fillId="0" borderId="5" xfId="2" applyNumberFormat="1" applyFont="1" applyBorder="1" applyAlignment="1">
      <alignment horizontal="center" vertical="center"/>
    </xf>
    <xf numFmtId="41" fontId="3" fillId="0" borderId="5" xfId="1" applyNumberFormat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0" xfId="1" applyFont="1" applyAlignment="1">
      <alignment horizontal="center"/>
    </xf>
    <xf numFmtId="166" fontId="3" fillId="0" borderId="0" xfId="2" applyNumberFormat="1" applyFont="1" applyAlignment="1">
      <alignment horizontal="center"/>
    </xf>
    <xf numFmtId="165" fontId="3" fillId="0" borderId="7" xfId="1" applyNumberFormat="1" applyFont="1" applyBorder="1" applyAlignment="1">
      <alignment horizontal="center" vertical="center"/>
    </xf>
    <xf numFmtId="165" fontId="3" fillId="0" borderId="8" xfId="1" applyNumberFormat="1" applyFont="1" applyBorder="1" applyAlignment="1">
      <alignment horizontal="center" vertical="center"/>
    </xf>
    <xf numFmtId="166" fontId="3" fillId="0" borderId="9" xfId="2" applyNumberFormat="1" applyFont="1" applyBorder="1" applyAlignment="1">
      <alignment horizontal="center" vertical="center"/>
    </xf>
    <xf numFmtId="167" fontId="3" fillId="0" borderId="9" xfId="1" applyNumberFormat="1" applyFont="1" applyBorder="1" applyAlignment="1">
      <alignment horizontal="center" vertical="center"/>
    </xf>
    <xf numFmtId="166" fontId="3" fillId="0" borderId="10" xfId="2" applyNumberFormat="1" applyFont="1" applyBorder="1" applyAlignment="1">
      <alignment horizontal="center" vertical="center"/>
    </xf>
    <xf numFmtId="41" fontId="3" fillId="0" borderId="10" xfId="1" applyNumberFormat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166" fontId="6" fillId="0" borderId="0" xfId="2" applyNumberFormat="1" applyFont="1" applyAlignment="1">
      <alignment horizontal="center"/>
    </xf>
    <xf numFmtId="165" fontId="6" fillId="0" borderId="12" xfId="1" applyNumberFormat="1" applyFont="1" applyBorder="1" applyAlignment="1">
      <alignment horizontal="right"/>
    </xf>
    <xf numFmtId="165" fontId="6" fillId="0" borderId="13" xfId="1" applyNumberFormat="1" applyFont="1" applyBorder="1" applyAlignment="1">
      <alignment horizontal="right"/>
    </xf>
    <xf numFmtId="166" fontId="6" fillId="0" borderId="14" xfId="2" applyNumberFormat="1" applyFont="1" applyBorder="1" applyAlignment="1">
      <alignment horizontal="center"/>
    </xf>
    <xf numFmtId="166" fontId="6" fillId="0" borderId="14" xfId="2" applyNumberFormat="1" applyFont="1" applyBorder="1"/>
    <xf numFmtId="167" fontId="6" fillId="0" borderId="14" xfId="1" applyNumberFormat="1" applyFont="1" applyBorder="1" applyAlignment="1">
      <alignment horizontal="center" vertical="center"/>
    </xf>
    <xf numFmtId="166" fontId="6" fillId="0" borderId="13" xfId="2" applyNumberFormat="1" applyFont="1" applyBorder="1" applyAlignment="1">
      <alignment horizontal="center"/>
    </xf>
    <xf numFmtId="167" fontId="6" fillId="0" borderId="15" xfId="1" applyNumberFormat="1" applyFont="1" applyBorder="1" applyAlignment="1">
      <alignment horizontal="center" vertical="center"/>
    </xf>
    <xf numFmtId="41" fontId="6" fillId="0" borderId="14" xfId="1" applyNumberFormat="1" applyFont="1" applyBorder="1" applyAlignment="1">
      <alignment horizontal="center"/>
    </xf>
    <xf numFmtId="166" fontId="3" fillId="0" borderId="14" xfId="2" applyNumberFormat="1" applyFont="1" applyBorder="1" applyAlignment="1">
      <alignment horizontal="center"/>
    </xf>
    <xf numFmtId="0" fontId="6" fillId="0" borderId="16" xfId="1" applyFont="1" applyBorder="1"/>
    <xf numFmtId="166" fontId="3" fillId="0" borderId="0" xfId="2" applyNumberFormat="1" applyFont="1"/>
    <xf numFmtId="49" fontId="6" fillId="0" borderId="0" xfId="1" applyNumberFormat="1" applyFont="1" applyAlignment="1">
      <alignment horizontal="center"/>
    </xf>
    <xf numFmtId="171" fontId="6" fillId="0" borderId="12" xfId="1" applyNumberFormat="1" applyFont="1" applyBorder="1" applyAlignment="1">
      <alignment horizontal="center" vertical="center"/>
    </xf>
    <xf numFmtId="166" fontId="6" fillId="0" borderId="17" xfId="2" applyNumberFormat="1" applyFont="1" applyBorder="1" applyAlignment="1">
      <alignment horizontal="center"/>
    </xf>
    <xf numFmtId="166" fontId="6" fillId="0" borderId="17" xfId="2" applyNumberFormat="1" applyFont="1" applyBorder="1"/>
    <xf numFmtId="166" fontId="6" fillId="0" borderId="17" xfId="2" applyNumberFormat="1" applyFont="1" applyBorder="1" applyAlignment="1">
      <alignment horizontal="center" vertical="center"/>
    </xf>
    <xf numFmtId="168" fontId="6" fillId="0" borderId="17" xfId="2" applyNumberFormat="1" applyFont="1" applyBorder="1" applyAlignment="1">
      <alignment horizontal="center" vertical="center"/>
    </xf>
    <xf numFmtId="166" fontId="6" fillId="0" borderId="18" xfId="2" applyNumberFormat="1" applyFont="1" applyBorder="1" applyAlignment="1">
      <alignment horizontal="center"/>
    </xf>
    <xf numFmtId="167" fontId="6" fillId="0" borderId="18" xfId="2" applyNumberFormat="1" applyFont="1" applyBorder="1" applyAlignment="1">
      <alignment horizontal="center" vertical="center"/>
    </xf>
    <xf numFmtId="41" fontId="6" fillId="0" borderId="17" xfId="2" applyNumberFormat="1" applyFont="1" applyBorder="1" applyAlignment="1">
      <alignment horizontal="center"/>
    </xf>
    <xf numFmtId="0" fontId="6" fillId="0" borderId="19" xfId="1" quotePrefix="1" applyFont="1" applyBorder="1" applyAlignment="1">
      <alignment horizontal="center" vertical="center"/>
    </xf>
    <xf numFmtId="0" fontId="6" fillId="0" borderId="0" xfId="1" applyFont="1"/>
    <xf numFmtId="0" fontId="6" fillId="0" borderId="0" xfId="2" applyNumberFormat="1" applyFont="1" applyAlignment="1">
      <alignment horizontal="center"/>
    </xf>
    <xf numFmtId="165" fontId="6" fillId="0" borderId="20" xfId="1" applyNumberFormat="1" applyFont="1" applyBorder="1"/>
    <xf numFmtId="165" fontId="6" fillId="0" borderId="18" xfId="1" applyNumberFormat="1" applyFont="1" applyBorder="1"/>
    <xf numFmtId="167" fontId="6" fillId="0" borderId="17" xfId="2" applyNumberFormat="1" applyFont="1" applyBorder="1" applyAlignment="1">
      <alignment horizontal="center" vertical="center"/>
    </xf>
    <xf numFmtId="166" fontId="6" fillId="0" borderId="21" xfId="2" applyNumberFormat="1" applyFont="1" applyBorder="1"/>
    <xf numFmtId="0" fontId="6" fillId="0" borderId="19" xfId="1" quotePrefix="1" applyFont="1" applyBorder="1" applyAlignment="1">
      <alignment horizontal="right"/>
    </xf>
    <xf numFmtId="165" fontId="3" fillId="0" borderId="22" xfId="1" applyNumberFormat="1" applyFont="1" applyBorder="1"/>
    <xf numFmtId="166" fontId="3" fillId="0" borderId="4" xfId="2" applyNumberFormat="1" applyFont="1" applyBorder="1" applyAlignment="1">
      <alignment horizontal="center"/>
    </xf>
    <xf numFmtId="167" fontId="3" fillId="0" borderId="4" xfId="2" applyNumberFormat="1" applyFont="1" applyBorder="1" applyAlignment="1">
      <alignment horizontal="center" vertical="center"/>
    </xf>
    <xf numFmtId="166" fontId="3" fillId="0" borderId="3" xfId="2" applyNumberFormat="1" applyFont="1" applyBorder="1" applyAlignment="1">
      <alignment horizontal="center"/>
    </xf>
    <xf numFmtId="166" fontId="6" fillId="0" borderId="23" xfId="2" applyNumberFormat="1" applyFont="1" applyBorder="1"/>
    <xf numFmtId="166" fontId="3" fillId="0" borderId="24" xfId="2" applyNumberFormat="1" applyFont="1" applyBorder="1"/>
    <xf numFmtId="165" fontId="3" fillId="0" borderId="25" xfId="1" applyNumberFormat="1" applyFont="1" applyBorder="1"/>
    <xf numFmtId="166" fontId="3" fillId="0" borderId="9" xfId="2" applyNumberFormat="1" applyFont="1" applyBorder="1" applyAlignment="1">
      <alignment horizontal="center"/>
    </xf>
    <xf numFmtId="167" fontId="3" fillId="0" borderId="9" xfId="2" applyNumberFormat="1" applyFont="1" applyBorder="1" applyAlignment="1">
      <alignment horizontal="center" vertical="center"/>
    </xf>
    <xf numFmtId="166" fontId="3" fillId="0" borderId="8" xfId="2" applyNumberFormat="1" applyFont="1" applyBorder="1" applyAlignment="1">
      <alignment horizontal="center"/>
    </xf>
    <xf numFmtId="166" fontId="6" fillId="0" borderId="26" xfId="2" applyNumberFormat="1" applyFont="1" applyBorder="1"/>
    <xf numFmtId="166" fontId="3" fillId="0" borderId="27" xfId="2" applyNumberFormat="1" applyFont="1" applyBorder="1"/>
    <xf numFmtId="165" fontId="3" fillId="0" borderId="28" xfId="1" applyNumberFormat="1" applyFont="1" applyBorder="1" applyAlignment="1">
      <alignment horizontal="left"/>
    </xf>
    <xf numFmtId="166" fontId="3" fillId="0" borderId="28" xfId="1" applyNumberFormat="1" applyFont="1" applyBorder="1" applyAlignment="1">
      <alignment horizontal="left"/>
    </xf>
    <xf numFmtId="166" fontId="6" fillId="0" borderId="0" xfId="1" applyNumberFormat="1" applyFont="1"/>
    <xf numFmtId="166" fontId="3" fillId="0" borderId="0" xfId="1" applyNumberFormat="1" applyFont="1"/>
    <xf numFmtId="0" fontId="6" fillId="0" borderId="0" xfId="1" applyFont="1" applyAlignment="1">
      <alignment horizontal="center"/>
    </xf>
    <xf numFmtId="4" fontId="6" fillId="0" borderId="0" xfId="1" applyNumberFormat="1" applyFont="1" applyAlignment="1">
      <alignment vertical="top" wrapText="1"/>
    </xf>
    <xf numFmtId="0" fontId="9" fillId="2" borderId="0" xfId="1" applyFont="1" applyFill="1"/>
    <xf numFmtId="0" fontId="9" fillId="0" borderId="0" xfId="1" applyFont="1"/>
    <xf numFmtId="49" fontId="0" fillId="0" borderId="0" xfId="0" applyNumberFormat="1"/>
    <xf numFmtId="14" fontId="0" fillId="0" borderId="0" xfId="0" applyNumberFormat="1"/>
    <xf numFmtId="4" fontId="0" fillId="0" borderId="0" xfId="0" applyNumberFormat="1"/>
    <xf numFmtId="3" fontId="0" fillId="0" borderId="0" xfId="0" applyNumberFormat="1"/>
    <xf numFmtId="0" fontId="10" fillId="0" borderId="0" xfId="1" applyFont="1" applyAlignment="1">
      <alignment horizontal="left"/>
    </xf>
    <xf numFmtId="165" fontId="10" fillId="0" borderId="0" xfId="1" applyNumberFormat="1" applyFont="1"/>
    <xf numFmtId="167" fontId="10" fillId="0" borderId="0" xfId="1" applyNumberFormat="1" applyFont="1" applyAlignment="1">
      <alignment horizontal="center" vertical="center"/>
    </xf>
    <xf numFmtId="0" fontId="10" fillId="0" borderId="0" xfId="1" applyFont="1"/>
    <xf numFmtId="166" fontId="9" fillId="0" borderId="0" xfId="2" applyNumberFormat="1" applyFont="1"/>
    <xf numFmtId="169" fontId="9" fillId="0" borderId="0" xfId="2" applyNumberFormat="1" applyFont="1"/>
    <xf numFmtId="165" fontId="9" fillId="0" borderId="0" xfId="1" applyNumberFormat="1" applyFont="1"/>
    <xf numFmtId="0" fontId="11" fillId="0" borderId="0" xfId="1" applyFont="1" applyAlignment="1">
      <alignment horizontal="center" vertical="center"/>
    </xf>
    <xf numFmtId="0" fontId="11" fillId="0" borderId="0" xfId="2" applyNumberFormat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167" fontId="9" fillId="0" borderId="0" xfId="1" applyNumberFormat="1" applyFont="1" applyAlignment="1">
      <alignment horizontal="center" vertical="center"/>
    </xf>
    <xf numFmtId="166" fontId="9" fillId="0" borderId="0" xfId="2" applyNumberFormat="1" applyFont="1" applyAlignment="1">
      <alignment horizontal="center"/>
    </xf>
    <xf numFmtId="41" fontId="9" fillId="0" borderId="0" xfId="1" applyNumberFormat="1" applyFont="1" applyAlignment="1">
      <alignment horizontal="center"/>
    </xf>
    <xf numFmtId="0" fontId="10" fillId="0" borderId="0" xfId="1" applyFont="1" applyAlignment="1">
      <alignment horizontal="center"/>
    </xf>
    <xf numFmtId="165" fontId="10" fillId="0" borderId="0" xfId="1" applyNumberFormat="1" applyFont="1" applyAlignment="1">
      <alignment horizontal="center" vertical="center"/>
    </xf>
    <xf numFmtId="166" fontId="10" fillId="0" borderId="0" xfId="2" applyNumberFormat="1" applyFont="1" applyAlignment="1">
      <alignment horizontal="center" vertical="center"/>
    </xf>
    <xf numFmtId="41" fontId="10" fillId="0" borderId="0" xfId="1" applyNumberFormat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169" fontId="9" fillId="0" borderId="0" xfId="2" applyNumberFormat="1" applyFont="1" applyAlignment="1">
      <alignment horizontal="center"/>
    </xf>
    <xf numFmtId="165" fontId="10" fillId="0" borderId="29" xfId="1" applyNumberFormat="1" applyFont="1" applyBorder="1" applyAlignment="1">
      <alignment horizontal="center" vertical="center"/>
    </xf>
    <xf numFmtId="0" fontId="9" fillId="0" borderId="30" xfId="1" applyFont="1" applyBorder="1" applyAlignment="1">
      <alignment horizontal="left"/>
    </xf>
    <xf numFmtId="0" fontId="10" fillId="0" borderId="33" xfId="1" applyFont="1" applyBorder="1" applyAlignment="1">
      <alignment horizontal="center" vertical="center"/>
    </xf>
    <xf numFmtId="166" fontId="10" fillId="0" borderId="30" xfId="2" applyNumberFormat="1" applyFont="1" applyBorder="1" applyAlignment="1">
      <alignment horizontal="center" vertical="center"/>
    </xf>
    <xf numFmtId="166" fontId="10" fillId="0" borderId="31" xfId="2" applyNumberFormat="1" applyFont="1" applyBorder="1" applyAlignment="1">
      <alignment horizontal="center" vertical="center"/>
    </xf>
    <xf numFmtId="165" fontId="9" fillId="0" borderId="34" xfId="1" applyNumberFormat="1" applyFont="1" applyBorder="1" applyAlignment="1">
      <alignment horizontal="right"/>
    </xf>
    <xf numFmtId="166" fontId="9" fillId="0" borderId="28" xfId="2" applyNumberFormat="1" applyFont="1" applyBorder="1" applyAlignment="1">
      <alignment horizontal="center"/>
    </xf>
    <xf numFmtId="166" fontId="9" fillId="0" borderId="28" xfId="2" applyNumberFormat="1" applyFont="1" applyBorder="1"/>
    <xf numFmtId="166" fontId="9" fillId="0" borderId="35" xfId="2" applyNumberFormat="1" applyFont="1" applyBorder="1"/>
    <xf numFmtId="166" fontId="9" fillId="0" borderId="41" xfId="2" applyNumberFormat="1" applyFont="1" applyBorder="1"/>
    <xf numFmtId="166" fontId="10" fillId="0" borderId="34" xfId="2" applyNumberFormat="1" applyFont="1" applyBorder="1"/>
    <xf numFmtId="165" fontId="9" fillId="0" borderId="34" xfId="1" applyNumberFormat="1" applyFont="1" applyBorder="1" applyAlignment="1">
      <alignment horizontal="center"/>
    </xf>
    <xf numFmtId="166" fontId="9" fillId="0" borderId="41" xfId="2" applyNumberFormat="1" applyFont="1" applyBorder="1" applyAlignment="1">
      <alignment horizontal="center"/>
    </xf>
    <xf numFmtId="166" fontId="10" fillId="0" borderId="34" xfId="2" applyNumberFormat="1" applyFont="1" applyBorder="1" applyAlignment="1">
      <alignment horizontal="center"/>
    </xf>
    <xf numFmtId="166" fontId="9" fillId="0" borderId="35" xfId="2" applyNumberFormat="1" applyFont="1" applyBorder="1" applyAlignment="1">
      <alignment horizontal="center"/>
    </xf>
    <xf numFmtId="167" fontId="9" fillId="0" borderId="0" xfId="2" applyNumberFormat="1" applyFont="1" applyAlignment="1">
      <alignment horizontal="center" vertical="center"/>
    </xf>
    <xf numFmtId="41" fontId="9" fillId="0" borderId="0" xfId="2" applyNumberFormat="1" applyFont="1" applyAlignment="1">
      <alignment horizontal="center"/>
    </xf>
    <xf numFmtId="0" fontId="9" fillId="0" borderId="0" xfId="1" quotePrefix="1" applyFont="1" applyAlignment="1">
      <alignment horizontal="right"/>
    </xf>
    <xf numFmtId="166" fontId="9" fillId="0" borderId="0" xfId="1" applyNumberFormat="1" applyFont="1"/>
    <xf numFmtId="170" fontId="9" fillId="0" borderId="0" xfId="2" applyNumberFormat="1" applyFont="1"/>
    <xf numFmtId="166" fontId="10" fillId="0" borderId="0" xfId="2" applyNumberFormat="1" applyFont="1"/>
    <xf numFmtId="166" fontId="10" fillId="0" borderId="0" xfId="1" applyNumberFormat="1" applyFont="1"/>
    <xf numFmtId="4" fontId="9" fillId="0" borderId="0" xfId="2" applyNumberFormat="1" applyFont="1" applyAlignment="1">
      <alignment horizontal="center"/>
    </xf>
    <xf numFmtId="166" fontId="9" fillId="0" borderId="0" xfId="2" applyNumberFormat="1" applyFont="1" applyAlignment="1">
      <alignment horizontal="left"/>
    </xf>
    <xf numFmtId="169" fontId="10" fillId="0" borderId="0" xfId="2" applyNumberFormat="1" applyFont="1"/>
    <xf numFmtId="165" fontId="9" fillId="0" borderId="32" xfId="1" applyNumberFormat="1" applyFont="1" applyBorder="1"/>
    <xf numFmtId="166" fontId="9" fillId="0" borderId="33" xfId="2" applyNumberFormat="1" applyFont="1" applyBorder="1" applyAlignment="1">
      <alignment horizontal="center"/>
    </xf>
    <xf numFmtId="166" fontId="9" fillId="0" borderId="33" xfId="2" applyNumberFormat="1" applyFont="1" applyBorder="1"/>
    <xf numFmtId="166" fontId="9" fillId="0" borderId="36" xfId="2" applyNumberFormat="1" applyFont="1" applyBorder="1"/>
    <xf numFmtId="166" fontId="9" fillId="0" borderId="42" xfId="2" applyNumberFormat="1" applyFont="1" applyBorder="1"/>
    <xf numFmtId="166" fontId="9" fillId="0" borderId="37" xfId="2" applyNumberFormat="1" applyFont="1" applyBorder="1"/>
    <xf numFmtId="166" fontId="9" fillId="0" borderId="38" xfId="2" applyNumberFormat="1" applyFont="1" applyBorder="1"/>
    <xf numFmtId="165" fontId="10" fillId="0" borderId="29" xfId="1" applyNumberFormat="1" applyFont="1" applyBorder="1"/>
    <xf numFmtId="166" fontId="10" fillId="0" borderId="30" xfId="2" applyNumberFormat="1" applyFont="1" applyBorder="1" applyAlignment="1">
      <alignment horizontal="center"/>
    </xf>
    <xf numFmtId="166" fontId="10" fillId="0" borderId="39" xfId="2" applyNumberFormat="1" applyFont="1" applyBorder="1" applyAlignment="1">
      <alignment horizontal="center"/>
    </xf>
    <xf numFmtId="166" fontId="10" fillId="0" borderId="43" xfId="2" applyNumberFormat="1" applyFont="1" applyBorder="1" applyAlignment="1">
      <alignment horizontal="center"/>
    </xf>
    <xf numFmtId="166" fontId="10" fillId="0" borderId="29" xfId="2" applyNumberFormat="1" applyFont="1" applyBorder="1" applyAlignment="1">
      <alignment horizontal="center"/>
    </xf>
    <xf numFmtId="166" fontId="10" fillId="0" borderId="31" xfId="2" applyNumberFormat="1" applyFont="1" applyBorder="1" applyAlignment="1">
      <alignment horizontal="center"/>
    </xf>
    <xf numFmtId="166" fontId="10" fillId="0" borderId="0" xfId="2" applyNumberFormat="1" applyFont="1" applyAlignment="1">
      <alignment horizontal="center"/>
    </xf>
    <xf numFmtId="167" fontId="10" fillId="0" borderId="0" xfId="2" applyNumberFormat="1" applyFont="1" applyAlignment="1">
      <alignment horizontal="center" vertical="center"/>
    </xf>
    <xf numFmtId="165" fontId="10" fillId="0" borderId="32" xfId="1" applyNumberFormat="1" applyFont="1" applyBorder="1"/>
    <xf numFmtId="166" fontId="10" fillId="0" borderId="33" xfId="2" applyNumberFormat="1" applyFont="1" applyBorder="1" applyAlignment="1">
      <alignment horizontal="center"/>
    </xf>
    <xf numFmtId="166" fontId="10" fillId="0" borderId="40" xfId="2" applyNumberFormat="1" applyFont="1" applyBorder="1" applyAlignment="1">
      <alignment horizontal="center"/>
    </xf>
    <xf numFmtId="166" fontId="10" fillId="0" borderId="44" xfId="2" applyNumberFormat="1" applyFont="1" applyBorder="1" applyAlignment="1">
      <alignment horizontal="center"/>
    </xf>
    <xf numFmtId="166" fontId="10" fillId="0" borderId="32" xfId="2" applyNumberFormat="1" applyFont="1" applyBorder="1" applyAlignment="1">
      <alignment horizontal="center"/>
    </xf>
    <xf numFmtId="166" fontId="10" fillId="0" borderId="36" xfId="2" applyNumberFormat="1" applyFont="1" applyBorder="1" applyAlignment="1">
      <alignment horizontal="center"/>
    </xf>
    <xf numFmtId="41" fontId="10" fillId="0" borderId="0" xfId="2" applyNumberFormat="1" applyFont="1" applyAlignment="1">
      <alignment horizontal="center"/>
    </xf>
    <xf numFmtId="169" fontId="9" fillId="0" borderId="0" xfId="1" applyNumberFormat="1" applyFont="1"/>
    <xf numFmtId="4" fontId="9" fillId="0" borderId="0" xfId="1" applyNumberFormat="1" applyFont="1"/>
    <xf numFmtId="14" fontId="9" fillId="0" borderId="0" xfId="1" applyNumberFormat="1" applyFont="1"/>
    <xf numFmtId="21" fontId="9" fillId="0" borderId="0" xfId="1" applyNumberFormat="1" applyFont="1"/>
    <xf numFmtId="0" fontId="2" fillId="0" borderId="0" xfId="2" applyNumberFormat="1" applyFont="1"/>
    <xf numFmtId="0" fontId="9" fillId="0" borderId="0" xfId="1" applyFont="1" applyAlignment="1">
      <alignment horizontal="left"/>
    </xf>
    <xf numFmtId="0" fontId="9" fillId="0" borderId="0" xfId="1" applyFont="1" applyAlignment="1">
      <alignment horizontal="right"/>
    </xf>
    <xf numFmtId="49" fontId="9" fillId="0" borderId="0" xfId="1" applyNumberFormat="1" applyFont="1" applyAlignment="1">
      <alignment horizontal="left"/>
    </xf>
    <xf numFmtId="14" fontId="9" fillId="0" borderId="0" xfId="1" applyNumberFormat="1" applyFont="1" applyAlignment="1">
      <alignment horizontal="left"/>
    </xf>
    <xf numFmtId="49" fontId="9" fillId="0" borderId="0" xfId="1" applyNumberFormat="1" applyFont="1" applyAlignment="1">
      <alignment horizontal="right"/>
    </xf>
    <xf numFmtId="4" fontId="9" fillId="0" borderId="0" xfId="1" applyNumberFormat="1" applyFont="1" applyAlignment="1">
      <alignment horizontal="right"/>
    </xf>
    <xf numFmtId="4" fontId="9" fillId="0" borderId="0" xfId="1" applyNumberFormat="1" applyFont="1" applyAlignment="1">
      <alignment horizontal="left"/>
    </xf>
    <xf numFmtId="49" fontId="9" fillId="0" borderId="0" xfId="1" applyNumberFormat="1" applyFont="1"/>
    <xf numFmtId="0" fontId="12" fillId="0" borderId="55" xfId="0" applyFont="1" applyBorder="1" applyAlignment="1">
      <alignment horizontal="center" vertical="top"/>
    </xf>
    <xf numFmtId="0" fontId="9" fillId="3" borderId="28" xfId="1" applyFont="1" applyFill="1" applyBorder="1"/>
    <xf numFmtId="0" fontId="9" fillId="4" borderId="28" xfId="1" applyFont="1" applyFill="1" applyBorder="1" applyAlignment="1">
      <alignment vertical="center"/>
    </xf>
    <xf numFmtId="0" fontId="9" fillId="0" borderId="0" xfId="1" applyFont="1" applyAlignment="1">
      <alignment vertical="top"/>
    </xf>
    <xf numFmtId="3" fontId="9" fillId="0" borderId="0" xfId="1" applyNumberFormat="1" applyFont="1"/>
    <xf numFmtId="0" fontId="9" fillId="5" borderId="28" xfId="1" applyFont="1" applyFill="1" applyBorder="1"/>
    <xf numFmtId="166" fontId="2" fillId="0" borderId="0" xfId="2" applyNumberFormat="1" applyFont="1"/>
    <xf numFmtId="0" fontId="9" fillId="0" borderId="0" xfId="1" applyNumberFormat="1" applyFont="1" applyAlignment="1">
      <alignment vertical="top"/>
    </xf>
    <xf numFmtId="49" fontId="3" fillId="0" borderId="0" xfId="1" applyNumberFormat="1" applyFont="1" applyAlignment="1">
      <alignment horizontal="center" vertical="center"/>
    </xf>
    <xf numFmtId="0" fontId="3" fillId="0" borderId="0" xfId="1" applyFont="1" applyAlignment="1">
      <alignment horizontal="center"/>
    </xf>
    <xf numFmtId="164" fontId="4" fillId="0" borderId="1" xfId="1" applyNumberFormat="1" applyFont="1" applyBorder="1" applyAlignment="1">
      <alignment horizontal="center" vertical="center" wrapText="1"/>
    </xf>
    <xf numFmtId="0" fontId="2" fillId="0" borderId="1" xfId="0" applyFont="1" applyBorder="1"/>
    <xf numFmtId="0" fontId="3" fillId="0" borderId="54" xfId="1" applyFont="1" applyBorder="1" applyAlignment="1">
      <alignment horizontal="center"/>
    </xf>
    <xf numFmtId="0" fontId="2" fillId="0" borderId="52" xfId="0" applyFont="1" applyBorder="1"/>
    <xf numFmtId="0" fontId="2" fillId="0" borderId="53" xfId="0" applyFont="1" applyBorder="1"/>
    <xf numFmtId="0" fontId="3" fillId="0" borderId="51" xfId="1" applyFont="1" applyBorder="1" applyAlignment="1">
      <alignment horizontal="center"/>
    </xf>
    <xf numFmtId="0" fontId="2" fillId="0" borderId="41" xfId="0" applyFont="1" applyBorder="1"/>
    <xf numFmtId="166" fontId="10" fillId="0" borderId="29" xfId="2" applyNumberFormat="1" applyFont="1" applyBorder="1" applyAlignment="1">
      <alignment horizontal="center" vertical="center"/>
    </xf>
    <xf numFmtId="0" fontId="2" fillId="0" borderId="47" xfId="0" applyFont="1" applyBorder="1"/>
    <xf numFmtId="0" fontId="2" fillId="0" borderId="48" xfId="0" applyFont="1" applyBorder="1"/>
    <xf numFmtId="165" fontId="10" fillId="0" borderId="29" xfId="1" applyNumberFormat="1" applyFont="1" applyBorder="1" applyAlignment="1">
      <alignment horizontal="center" vertical="center"/>
    </xf>
    <xf numFmtId="0" fontId="10" fillId="0" borderId="31" xfId="1" applyFont="1" applyBorder="1" applyAlignment="1">
      <alignment horizontal="center" vertical="center"/>
    </xf>
    <xf numFmtId="0" fontId="2" fillId="0" borderId="16" xfId="0" applyFont="1" applyBorder="1"/>
    <xf numFmtId="0" fontId="2" fillId="0" borderId="49" xfId="0" applyFont="1" applyBorder="1"/>
    <xf numFmtId="0" fontId="10" fillId="0" borderId="50" xfId="1" applyFont="1" applyBorder="1" applyAlignment="1">
      <alignment horizontal="center" vertical="center"/>
    </xf>
    <xf numFmtId="0" fontId="2" fillId="0" borderId="45" xfId="0" applyFont="1" applyBorder="1"/>
  </cellXfs>
  <cellStyles count="3">
    <cellStyle name="Comma 2" xfId="2" xr:uid="{00000000-0005-0000-0000-000002000000}"/>
    <cellStyle name="Normal" xfId="0" builtinId="0"/>
    <cellStyle name="Normal 2" xfId="1" xr:uid="{00000000-0005-0000-0000-000001000000}"/>
  </cellStyles>
  <dxfs count="13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0" tint="-0.24994659260841701"/>
        </patternFill>
      </fill>
    </dxf>
    <dxf>
      <font>
        <b/>
        <i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X51"/>
  <sheetViews>
    <sheetView tabSelected="1" zoomScaleNormal="100" zoomScaleSheetLayoutView="100" workbookViewId="0">
      <pane xSplit="3" ySplit="6" topLeftCell="T7" activePane="bottomRight" state="frozen"/>
      <selection activeCell="Z8" sqref="Z8"/>
      <selection pane="topRight" activeCell="Z8" sqref="Z8"/>
      <selection pane="bottomLeft" activeCell="Z8" sqref="Z8"/>
      <selection pane="bottomRight" activeCell="AB8" sqref="AB8"/>
    </sheetView>
  </sheetViews>
  <sheetFormatPr defaultRowHeight="15.6" x14ac:dyDescent="0.3"/>
  <cols>
    <col min="1" max="1" width="15.6640625" style="52" hidden="1" customWidth="1"/>
    <col min="2" max="2" width="4.109375" style="9" customWidth="1"/>
    <col min="3" max="3" width="19.109375" style="62" customWidth="1"/>
    <col min="4" max="4" width="19.109375" style="62" bestFit="1" customWidth="1"/>
    <col min="5" max="6" width="15.44140625" style="62" bestFit="1" customWidth="1"/>
    <col min="7" max="7" width="13.109375" style="62" bestFit="1" customWidth="1"/>
    <col min="8" max="8" width="13.109375" style="6" bestFit="1" customWidth="1"/>
    <col min="9" max="9" width="20" style="6" bestFit="1" customWidth="1"/>
    <col min="10" max="10" width="12.44140625" style="62" bestFit="1" customWidth="1"/>
    <col min="11" max="11" width="12.44140625" style="62" customWidth="1"/>
    <col min="12" max="12" width="17.33203125" style="62" bestFit="1" customWidth="1"/>
    <col min="13" max="13" width="15.44140625" style="62" bestFit="1" customWidth="1"/>
    <col min="14" max="14" width="13.109375" style="62" bestFit="1" customWidth="1"/>
    <col min="15" max="15" width="13.109375" style="62" customWidth="1"/>
    <col min="16" max="16" width="12.88671875" style="62" bestFit="1" customWidth="1"/>
    <col min="17" max="17" width="21.5546875" style="62" bestFit="1" customWidth="1"/>
    <col min="18" max="18" width="17" style="62" bestFit="1" customWidth="1"/>
    <col min="19" max="19" width="17.33203125" style="62" bestFit="1" customWidth="1"/>
    <col min="20" max="20" width="14" style="62" customWidth="1"/>
    <col min="21" max="21" width="12.44140625" style="62" bestFit="1" customWidth="1"/>
    <col min="22" max="22" width="13.44140625" style="62" bestFit="1" customWidth="1"/>
    <col min="23" max="23" width="7.109375" style="62" bestFit="1" customWidth="1"/>
    <col min="24" max="24" width="14.5546875" style="62" bestFit="1" customWidth="1"/>
    <col min="25" max="25" width="15.88671875" style="62" bestFit="1" customWidth="1"/>
    <col min="26" max="26" width="17.33203125" style="62" bestFit="1" customWidth="1"/>
    <col min="27" max="27" width="5.88671875" style="62" bestFit="1" customWidth="1"/>
    <col min="28" max="28" width="23.109375" style="62" customWidth="1"/>
    <col min="29" max="29" width="17.33203125" style="62" bestFit="1" customWidth="1"/>
    <col min="30" max="30" width="39.109375" style="62" bestFit="1" customWidth="1"/>
    <col min="31" max="31" width="15.6640625" style="62" bestFit="1" customWidth="1"/>
    <col min="32" max="32" width="11.44140625" style="62" hidden="1" customWidth="1"/>
    <col min="33" max="34" width="13.6640625" style="62" hidden="1" customWidth="1"/>
    <col min="35" max="35" width="11.44140625" style="62" hidden="1" customWidth="1"/>
    <col min="36" max="41" width="12.44140625" style="62" hidden="1" customWidth="1"/>
    <col min="42" max="43" width="10.5546875" style="62" hidden="1" customWidth="1"/>
    <col min="44" max="44" width="16.6640625" style="62" hidden="1" customWidth="1"/>
    <col min="45" max="45" width="12.5546875" style="62" hidden="1" customWidth="1"/>
    <col min="46" max="46" width="14.88671875" style="62" hidden="1" customWidth="1"/>
    <col min="47" max="47" width="12.5546875" style="62" hidden="1" customWidth="1"/>
    <col min="48" max="48" width="10.109375" style="62" hidden="1" customWidth="1"/>
    <col min="49" max="49" width="8.5546875" style="62" hidden="1" customWidth="1"/>
    <col min="50" max="50" width="10.5546875" style="62" hidden="1" customWidth="1"/>
    <col min="51" max="262" width="9.109375" style="62" customWidth="1"/>
    <col min="263" max="263" width="0" style="62" hidden="1"/>
    <col min="264" max="264" width="4.109375" style="62" customWidth="1"/>
    <col min="265" max="265" width="19.109375" style="62" customWidth="1"/>
    <col min="266" max="266" width="19.109375" style="62" bestFit="1" customWidth="1"/>
    <col min="267" max="268" width="15.44140625" style="62" bestFit="1" customWidth="1"/>
    <col min="269" max="270" width="13.109375" style="62" bestFit="1" customWidth="1"/>
    <col min="271" max="271" width="20" style="62" bestFit="1" customWidth="1"/>
    <col min="272" max="272" width="12.44140625" style="62" bestFit="1" customWidth="1"/>
    <col min="273" max="273" width="17.33203125" style="62" bestFit="1" customWidth="1"/>
    <col min="274" max="274" width="15.44140625" style="62" bestFit="1" customWidth="1"/>
    <col min="275" max="275" width="13.109375" style="62" bestFit="1" customWidth="1"/>
    <col min="276" max="276" width="12.88671875" style="62" bestFit="1" customWidth="1"/>
    <col min="277" max="277" width="21.5546875" style="62" bestFit="1" customWidth="1"/>
    <col min="278" max="278" width="17" style="62" bestFit="1" customWidth="1"/>
    <col min="279" max="279" width="17.33203125" style="62" bestFit="1" customWidth="1"/>
    <col min="280" max="280" width="12.88671875" style="62" bestFit="1" customWidth="1"/>
    <col min="281" max="281" width="7.109375" style="62" bestFit="1" customWidth="1"/>
    <col min="282" max="282" width="13.44140625" style="62" bestFit="1" customWidth="1"/>
    <col min="283" max="283" width="7.109375" style="62" bestFit="1" customWidth="1"/>
    <col min="284" max="284" width="12" style="62" bestFit="1" customWidth="1"/>
    <col min="285" max="285" width="15.88671875" style="62" bestFit="1" customWidth="1"/>
    <col min="286" max="286" width="17.33203125" style="62" bestFit="1" customWidth="1"/>
    <col min="287" max="287" width="5.88671875" style="62" bestFit="1" customWidth="1"/>
    <col min="288" max="288" width="21.109375" style="62" bestFit="1" customWidth="1"/>
    <col min="289" max="289" width="17" style="62" bestFit="1" customWidth="1"/>
    <col min="290" max="290" width="24.5546875" style="62" bestFit="1" customWidth="1"/>
    <col min="291" max="291" width="11.44140625" style="62" bestFit="1" customWidth="1"/>
    <col min="292" max="305" width="0" style="62" hidden="1"/>
    <col min="306" max="518" width="9.109375" style="62" customWidth="1"/>
    <col min="519" max="519" width="0" style="62" hidden="1"/>
    <col min="520" max="520" width="4.109375" style="62" customWidth="1"/>
    <col min="521" max="521" width="19.109375" style="62" customWidth="1"/>
    <col min="522" max="522" width="19.109375" style="62" bestFit="1" customWidth="1"/>
    <col min="523" max="524" width="15.44140625" style="62" bestFit="1" customWidth="1"/>
    <col min="525" max="526" width="13.109375" style="62" bestFit="1" customWidth="1"/>
    <col min="527" max="527" width="20" style="62" bestFit="1" customWidth="1"/>
    <col min="528" max="528" width="12.44140625" style="62" bestFit="1" customWidth="1"/>
    <col min="529" max="529" width="17.33203125" style="62" bestFit="1" customWidth="1"/>
    <col min="530" max="530" width="15.44140625" style="62" bestFit="1" customWidth="1"/>
    <col min="531" max="531" width="13.109375" style="62" bestFit="1" customWidth="1"/>
    <col min="532" max="532" width="12.88671875" style="62" bestFit="1" customWidth="1"/>
    <col min="533" max="533" width="21.5546875" style="62" bestFit="1" customWidth="1"/>
    <col min="534" max="534" width="17" style="62" bestFit="1" customWidth="1"/>
    <col min="535" max="535" width="17.33203125" style="62" bestFit="1" customWidth="1"/>
    <col min="536" max="536" width="12.88671875" style="62" bestFit="1" customWidth="1"/>
    <col min="537" max="537" width="7.109375" style="62" bestFit="1" customWidth="1"/>
    <col min="538" max="538" width="13.44140625" style="62" bestFit="1" customWidth="1"/>
    <col min="539" max="539" width="7.109375" style="62" bestFit="1" customWidth="1"/>
    <col min="540" max="540" width="12" style="62" bestFit="1" customWidth="1"/>
    <col min="541" max="541" width="15.88671875" style="62" bestFit="1" customWidth="1"/>
    <col min="542" max="542" width="17.33203125" style="62" bestFit="1" customWidth="1"/>
    <col min="543" max="543" width="5.88671875" style="62" bestFit="1" customWidth="1"/>
    <col min="544" max="544" width="21.109375" style="62" bestFit="1" customWidth="1"/>
    <col min="545" max="545" width="17" style="62" bestFit="1" customWidth="1"/>
    <col min="546" max="546" width="24.5546875" style="62" bestFit="1" customWidth="1"/>
    <col min="547" max="547" width="11.44140625" style="62" bestFit="1" customWidth="1"/>
    <col min="548" max="561" width="0" style="62" hidden="1"/>
    <col min="562" max="774" width="9.109375" style="62" customWidth="1"/>
    <col min="775" max="775" width="0" style="62" hidden="1"/>
    <col min="776" max="776" width="4.109375" style="62" customWidth="1"/>
    <col min="777" max="777" width="19.109375" style="62" customWidth="1"/>
    <col min="778" max="778" width="19.109375" style="62" bestFit="1" customWidth="1"/>
    <col min="779" max="780" width="15.44140625" style="62" bestFit="1" customWidth="1"/>
    <col min="781" max="782" width="13.109375" style="62" bestFit="1" customWidth="1"/>
    <col min="783" max="783" width="20" style="62" bestFit="1" customWidth="1"/>
    <col min="784" max="784" width="12.44140625" style="62" bestFit="1" customWidth="1"/>
    <col min="785" max="785" width="17.33203125" style="62" bestFit="1" customWidth="1"/>
    <col min="786" max="786" width="15.44140625" style="62" bestFit="1" customWidth="1"/>
    <col min="787" max="787" width="13.109375" style="62" bestFit="1" customWidth="1"/>
    <col min="788" max="788" width="12.88671875" style="62" bestFit="1" customWidth="1"/>
    <col min="789" max="789" width="21.5546875" style="62" bestFit="1" customWidth="1"/>
    <col min="790" max="790" width="17" style="62" bestFit="1" customWidth="1"/>
    <col min="791" max="791" width="17.33203125" style="62" bestFit="1" customWidth="1"/>
    <col min="792" max="792" width="12.88671875" style="62" bestFit="1" customWidth="1"/>
    <col min="793" max="793" width="7.109375" style="62" bestFit="1" customWidth="1"/>
    <col min="794" max="794" width="13.44140625" style="62" bestFit="1" customWidth="1"/>
    <col min="795" max="795" width="7.109375" style="62" bestFit="1" customWidth="1"/>
    <col min="796" max="796" width="12" style="62" bestFit="1" customWidth="1"/>
    <col min="797" max="797" width="15.88671875" style="62" bestFit="1" customWidth="1"/>
    <col min="798" max="798" width="17.33203125" style="62" bestFit="1" customWidth="1"/>
    <col min="799" max="799" width="5.88671875" style="62" bestFit="1" customWidth="1"/>
    <col min="800" max="800" width="21.109375" style="62" bestFit="1" customWidth="1"/>
    <col min="801" max="801" width="17" style="62" bestFit="1" customWidth="1"/>
    <col min="802" max="802" width="24.5546875" style="62" bestFit="1" customWidth="1"/>
    <col min="803" max="803" width="11.44140625" style="62" bestFit="1" customWidth="1"/>
    <col min="804" max="817" width="0" style="62" hidden="1"/>
    <col min="818" max="1030" width="9.109375" style="62" customWidth="1"/>
    <col min="1031" max="1031" width="0" style="62" hidden="1"/>
    <col min="1032" max="1032" width="4.109375" style="62" customWidth="1"/>
    <col min="1033" max="1033" width="19.109375" style="62" customWidth="1"/>
    <col min="1034" max="1034" width="19.109375" style="62" bestFit="1" customWidth="1"/>
    <col min="1035" max="1036" width="15.44140625" style="62" bestFit="1" customWidth="1"/>
    <col min="1037" max="1038" width="13.109375" style="62" bestFit="1" customWidth="1"/>
    <col min="1039" max="1039" width="20" style="62" bestFit="1" customWidth="1"/>
    <col min="1040" max="1040" width="12.44140625" style="62" bestFit="1" customWidth="1"/>
    <col min="1041" max="1041" width="17.33203125" style="62" bestFit="1" customWidth="1"/>
    <col min="1042" max="1042" width="15.44140625" style="62" bestFit="1" customWidth="1"/>
    <col min="1043" max="1043" width="13.109375" style="62" bestFit="1" customWidth="1"/>
    <col min="1044" max="1044" width="12.88671875" style="62" bestFit="1" customWidth="1"/>
    <col min="1045" max="1045" width="21.5546875" style="62" bestFit="1" customWidth="1"/>
    <col min="1046" max="1046" width="17" style="62" bestFit="1" customWidth="1"/>
    <col min="1047" max="1047" width="17.33203125" style="62" bestFit="1" customWidth="1"/>
    <col min="1048" max="1048" width="12.88671875" style="62" bestFit="1" customWidth="1"/>
    <col min="1049" max="1049" width="7.109375" style="62" bestFit="1" customWidth="1"/>
    <col min="1050" max="1050" width="13.44140625" style="62" bestFit="1" customWidth="1"/>
    <col min="1051" max="1051" width="7.109375" style="62" bestFit="1" customWidth="1"/>
    <col min="1052" max="1052" width="12" style="62" bestFit="1" customWidth="1"/>
    <col min="1053" max="1053" width="15.88671875" style="62" bestFit="1" customWidth="1"/>
    <col min="1054" max="1054" width="17.33203125" style="62" bestFit="1" customWidth="1"/>
    <col min="1055" max="1055" width="5.88671875" style="62" bestFit="1" customWidth="1"/>
    <col min="1056" max="1056" width="21.109375" style="62" bestFit="1" customWidth="1"/>
    <col min="1057" max="1057" width="17" style="62" bestFit="1" customWidth="1"/>
    <col min="1058" max="1058" width="24.5546875" style="62" bestFit="1" customWidth="1"/>
    <col min="1059" max="1059" width="11.44140625" style="62" bestFit="1" customWidth="1"/>
    <col min="1060" max="1073" width="0" style="62" hidden="1"/>
    <col min="1074" max="1286" width="9.109375" style="62" customWidth="1"/>
    <col min="1287" max="1287" width="0" style="62" hidden="1"/>
    <col min="1288" max="1288" width="4.109375" style="62" customWidth="1"/>
    <col min="1289" max="1289" width="19.109375" style="62" customWidth="1"/>
    <col min="1290" max="1290" width="19.109375" style="62" bestFit="1" customWidth="1"/>
    <col min="1291" max="1292" width="15.44140625" style="62" bestFit="1" customWidth="1"/>
    <col min="1293" max="1294" width="13.109375" style="62" bestFit="1" customWidth="1"/>
    <col min="1295" max="1295" width="20" style="62" bestFit="1" customWidth="1"/>
    <col min="1296" max="1296" width="12.44140625" style="62" bestFit="1" customWidth="1"/>
    <col min="1297" max="1297" width="17.33203125" style="62" bestFit="1" customWidth="1"/>
    <col min="1298" max="1298" width="15.44140625" style="62" bestFit="1" customWidth="1"/>
    <col min="1299" max="1299" width="13.109375" style="62" bestFit="1" customWidth="1"/>
    <col min="1300" max="1300" width="12.88671875" style="62" bestFit="1" customWidth="1"/>
    <col min="1301" max="1301" width="21.5546875" style="62" bestFit="1" customWidth="1"/>
    <col min="1302" max="1302" width="17" style="62" bestFit="1" customWidth="1"/>
    <col min="1303" max="1303" width="17.33203125" style="62" bestFit="1" customWidth="1"/>
    <col min="1304" max="1304" width="12.88671875" style="62" bestFit="1" customWidth="1"/>
    <col min="1305" max="1305" width="7.109375" style="62" bestFit="1" customWidth="1"/>
    <col min="1306" max="1306" width="13.44140625" style="62" bestFit="1" customWidth="1"/>
    <col min="1307" max="1307" width="7.109375" style="62" bestFit="1" customWidth="1"/>
    <col min="1308" max="1308" width="12" style="62" bestFit="1" customWidth="1"/>
    <col min="1309" max="1309" width="15.88671875" style="62" bestFit="1" customWidth="1"/>
    <col min="1310" max="1310" width="17.33203125" style="62" bestFit="1" customWidth="1"/>
    <col min="1311" max="1311" width="5.88671875" style="62" bestFit="1" customWidth="1"/>
    <col min="1312" max="1312" width="21.109375" style="62" bestFit="1" customWidth="1"/>
    <col min="1313" max="1313" width="17" style="62" bestFit="1" customWidth="1"/>
    <col min="1314" max="1314" width="24.5546875" style="62" bestFit="1" customWidth="1"/>
    <col min="1315" max="1315" width="11.44140625" style="62" bestFit="1" customWidth="1"/>
    <col min="1316" max="1329" width="0" style="62" hidden="1"/>
    <col min="1330" max="1542" width="9.109375" style="62" customWidth="1"/>
    <col min="1543" max="1543" width="0" style="62" hidden="1"/>
    <col min="1544" max="1544" width="4.109375" style="62" customWidth="1"/>
    <col min="1545" max="1545" width="19.109375" style="62" customWidth="1"/>
    <col min="1546" max="1546" width="19.109375" style="62" bestFit="1" customWidth="1"/>
    <col min="1547" max="1548" width="15.44140625" style="62" bestFit="1" customWidth="1"/>
    <col min="1549" max="1550" width="13.109375" style="62" bestFit="1" customWidth="1"/>
    <col min="1551" max="1551" width="20" style="62" bestFit="1" customWidth="1"/>
    <col min="1552" max="1552" width="12.44140625" style="62" bestFit="1" customWidth="1"/>
    <col min="1553" max="1553" width="17.33203125" style="62" bestFit="1" customWidth="1"/>
    <col min="1554" max="1554" width="15.44140625" style="62" bestFit="1" customWidth="1"/>
    <col min="1555" max="1555" width="13.109375" style="62" bestFit="1" customWidth="1"/>
    <col min="1556" max="1556" width="12.88671875" style="62" bestFit="1" customWidth="1"/>
    <col min="1557" max="1557" width="21.5546875" style="62" bestFit="1" customWidth="1"/>
    <col min="1558" max="1558" width="17" style="62" bestFit="1" customWidth="1"/>
    <col min="1559" max="1559" width="17.33203125" style="62" bestFit="1" customWidth="1"/>
    <col min="1560" max="1560" width="12.88671875" style="62" bestFit="1" customWidth="1"/>
    <col min="1561" max="1561" width="7.109375" style="62" bestFit="1" customWidth="1"/>
    <col min="1562" max="1562" width="13.44140625" style="62" bestFit="1" customWidth="1"/>
    <col min="1563" max="1563" width="7.109375" style="62" bestFit="1" customWidth="1"/>
    <col min="1564" max="1564" width="12" style="62" bestFit="1" customWidth="1"/>
    <col min="1565" max="1565" width="15.88671875" style="62" bestFit="1" customWidth="1"/>
    <col min="1566" max="1566" width="17.33203125" style="62" bestFit="1" customWidth="1"/>
    <col min="1567" max="1567" width="5.88671875" style="62" bestFit="1" customWidth="1"/>
    <col min="1568" max="1568" width="21.109375" style="62" bestFit="1" customWidth="1"/>
    <col min="1569" max="1569" width="17" style="62" bestFit="1" customWidth="1"/>
    <col min="1570" max="1570" width="24.5546875" style="62" bestFit="1" customWidth="1"/>
    <col min="1571" max="1571" width="11.44140625" style="62" bestFit="1" customWidth="1"/>
    <col min="1572" max="1585" width="0" style="62" hidden="1"/>
    <col min="1586" max="1798" width="9.109375" style="62" customWidth="1"/>
    <col min="1799" max="1799" width="0" style="62" hidden="1"/>
    <col min="1800" max="1800" width="4.109375" style="62" customWidth="1"/>
    <col min="1801" max="1801" width="19.109375" style="62" customWidth="1"/>
    <col min="1802" max="1802" width="19.109375" style="62" bestFit="1" customWidth="1"/>
    <col min="1803" max="1804" width="15.44140625" style="62" bestFit="1" customWidth="1"/>
    <col min="1805" max="1806" width="13.109375" style="62" bestFit="1" customWidth="1"/>
    <col min="1807" max="1807" width="20" style="62" bestFit="1" customWidth="1"/>
    <col min="1808" max="1808" width="12.44140625" style="62" bestFit="1" customWidth="1"/>
    <col min="1809" max="1809" width="17.33203125" style="62" bestFit="1" customWidth="1"/>
    <col min="1810" max="1810" width="15.44140625" style="62" bestFit="1" customWidth="1"/>
    <col min="1811" max="1811" width="13.109375" style="62" bestFit="1" customWidth="1"/>
    <col min="1812" max="1812" width="12.88671875" style="62" bestFit="1" customWidth="1"/>
    <col min="1813" max="1813" width="21.5546875" style="62" bestFit="1" customWidth="1"/>
    <col min="1814" max="1814" width="17" style="62" bestFit="1" customWidth="1"/>
    <col min="1815" max="1815" width="17.33203125" style="62" bestFit="1" customWidth="1"/>
    <col min="1816" max="1816" width="12.88671875" style="62" bestFit="1" customWidth="1"/>
    <col min="1817" max="1817" width="7.109375" style="62" bestFit="1" customWidth="1"/>
    <col min="1818" max="1818" width="13.44140625" style="62" bestFit="1" customWidth="1"/>
    <col min="1819" max="1819" width="7.109375" style="62" bestFit="1" customWidth="1"/>
    <col min="1820" max="1820" width="12" style="62" bestFit="1" customWidth="1"/>
    <col min="1821" max="1821" width="15.88671875" style="62" bestFit="1" customWidth="1"/>
    <col min="1822" max="1822" width="17.33203125" style="62" bestFit="1" customWidth="1"/>
    <col min="1823" max="1823" width="5.88671875" style="62" bestFit="1" customWidth="1"/>
    <col min="1824" max="1824" width="21.109375" style="62" bestFit="1" customWidth="1"/>
    <col min="1825" max="1825" width="17" style="62" bestFit="1" customWidth="1"/>
    <col min="1826" max="1826" width="24.5546875" style="62" bestFit="1" customWidth="1"/>
    <col min="1827" max="1827" width="11.44140625" style="62" bestFit="1" customWidth="1"/>
    <col min="1828" max="1841" width="0" style="62" hidden="1"/>
    <col min="1842" max="2054" width="9.109375" style="62" customWidth="1"/>
    <col min="2055" max="2055" width="0" style="62" hidden="1"/>
    <col min="2056" max="2056" width="4.109375" style="62" customWidth="1"/>
    <col min="2057" max="2057" width="19.109375" style="62" customWidth="1"/>
    <col min="2058" max="2058" width="19.109375" style="62" bestFit="1" customWidth="1"/>
    <col min="2059" max="2060" width="15.44140625" style="62" bestFit="1" customWidth="1"/>
    <col min="2061" max="2062" width="13.109375" style="62" bestFit="1" customWidth="1"/>
    <col min="2063" max="2063" width="20" style="62" bestFit="1" customWidth="1"/>
    <col min="2064" max="2064" width="12.44140625" style="62" bestFit="1" customWidth="1"/>
    <col min="2065" max="2065" width="17.33203125" style="62" bestFit="1" customWidth="1"/>
    <col min="2066" max="2066" width="15.44140625" style="62" bestFit="1" customWidth="1"/>
    <col min="2067" max="2067" width="13.109375" style="62" bestFit="1" customWidth="1"/>
    <col min="2068" max="2068" width="12.88671875" style="62" bestFit="1" customWidth="1"/>
    <col min="2069" max="2069" width="21.5546875" style="62" bestFit="1" customWidth="1"/>
    <col min="2070" max="2070" width="17" style="62" bestFit="1" customWidth="1"/>
    <col min="2071" max="2071" width="17.33203125" style="62" bestFit="1" customWidth="1"/>
    <col min="2072" max="2072" width="12.88671875" style="62" bestFit="1" customWidth="1"/>
    <col min="2073" max="2073" width="7.109375" style="62" bestFit="1" customWidth="1"/>
    <col min="2074" max="2074" width="13.44140625" style="62" bestFit="1" customWidth="1"/>
    <col min="2075" max="2075" width="7.109375" style="62" bestFit="1" customWidth="1"/>
    <col min="2076" max="2076" width="12" style="62" bestFit="1" customWidth="1"/>
    <col min="2077" max="2077" width="15.88671875" style="62" bestFit="1" customWidth="1"/>
    <col min="2078" max="2078" width="17.33203125" style="62" bestFit="1" customWidth="1"/>
    <col min="2079" max="2079" width="5.88671875" style="62" bestFit="1" customWidth="1"/>
    <col min="2080" max="2080" width="21.109375" style="62" bestFit="1" customWidth="1"/>
    <col min="2081" max="2081" width="17" style="62" bestFit="1" customWidth="1"/>
    <col min="2082" max="2082" width="24.5546875" style="62" bestFit="1" customWidth="1"/>
    <col min="2083" max="2083" width="11.44140625" style="62" bestFit="1" customWidth="1"/>
    <col min="2084" max="2097" width="0" style="62" hidden="1"/>
    <col min="2098" max="2310" width="9.109375" style="62" customWidth="1"/>
    <col min="2311" max="2311" width="0" style="62" hidden="1"/>
    <col min="2312" max="2312" width="4.109375" style="62" customWidth="1"/>
    <col min="2313" max="2313" width="19.109375" style="62" customWidth="1"/>
    <col min="2314" max="2314" width="19.109375" style="62" bestFit="1" customWidth="1"/>
    <col min="2315" max="2316" width="15.44140625" style="62" bestFit="1" customWidth="1"/>
    <col min="2317" max="2318" width="13.109375" style="62" bestFit="1" customWidth="1"/>
    <col min="2319" max="2319" width="20" style="62" bestFit="1" customWidth="1"/>
    <col min="2320" max="2320" width="12.44140625" style="62" bestFit="1" customWidth="1"/>
    <col min="2321" max="2321" width="17.33203125" style="62" bestFit="1" customWidth="1"/>
    <col min="2322" max="2322" width="15.44140625" style="62" bestFit="1" customWidth="1"/>
    <col min="2323" max="2323" width="13.109375" style="62" bestFit="1" customWidth="1"/>
    <col min="2324" max="2324" width="12.88671875" style="62" bestFit="1" customWidth="1"/>
    <col min="2325" max="2325" width="21.5546875" style="62" bestFit="1" customWidth="1"/>
    <col min="2326" max="2326" width="17" style="62" bestFit="1" customWidth="1"/>
    <col min="2327" max="2327" width="17.33203125" style="62" bestFit="1" customWidth="1"/>
    <col min="2328" max="2328" width="12.88671875" style="62" bestFit="1" customWidth="1"/>
    <col min="2329" max="2329" width="7.109375" style="62" bestFit="1" customWidth="1"/>
    <col min="2330" max="2330" width="13.44140625" style="62" bestFit="1" customWidth="1"/>
    <col min="2331" max="2331" width="7.109375" style="62" bestFit="1" customWidth="1"/>
    <col min="2332" max="2332" width="12" style="62" bestFit="1" customWidth="1"/>
    <col min="2333" max="2333" width="15.88671875" style="62" bestFit="1" customWidth="1"/>
    <col min="2334" max="2334" width="17.33203125" style="62" bestFit="1" customWidth="1"/>
    <col min="2335" max="2335" width="5.88671875" style="62" bestFit="1" customWidth="1"/>
    <col min="2336" max="2336" width="21.109375" style="62" bestFit="1" customWidth="1"/>
    <col min="2337" max="2337" width="17" style="62" bestFit="1" customWidth="1"/>
    <col min="2338" max="2338" width="24.5546875" style="62" bestFit="1" customWidth="1"/>
    <col min="2339" max="2339" width="11.44140625" style="62" bestFit="1" customWidth="1"/>
    <col min="2340" max="2353" width="0" style="62" hidden="1"/>
    <col min="2354" max="2566" width="9.109375" style="62" customWidth="1"/>
    <col min="2567" max="2567" width="0" style="62" hidden="1"/>
    <col min="2568" max="2568" width="4.109375" style="62" customWidth="1"/>
    <col min="2569" max="2569" width="19.109375" style="62" customWidth="1"/>
    <col min="2570" max="2570" width="19.109375" style="62" bestFit="1" customWidth="1"/>
    <col min="2571" max="2572" width="15.44140625" style="62" bestFit="1" customWidth="1"/>
    <col min="2573" max="2574" width="13.109375" style="62" bestFit="1" customWidth="1"/>
    <col min="2575" max="2575" width="20" style="62" bestFit="1" customWidth="1"/>
    <col min="2576" max="2576" width="12.44140625" style="62" bestFit="1" customWidth="1"/>
    <col min="2577" max="2577" width="17.33203125" style="62" bestFit="1" customWidth="1"/>
    <col min="2578" max="2578" width="15.44140625" style="62" bestFit="1" customWidth="1"/>
    <col min="2579" max="2579" width="13.109375" style="62" bestFit="1" customWidth="1"/>
    <col min="2580" max="2580" width="12.88671875" style="62" bestFit="1" customWidth="1"/>
    <col min="2581" max="2581" width="21.5546875" style="62" bestFit="1" customWidth="1"/>
    <col min="2582" max="2582" width="17" style="62" bestFit="1" customWidth="1"/>
    <col min="2583" max="2583" width="17.33203125" style="62" bestFit="1" customWidth="1"/>
    <col min="2584" max="2584" width="12.88671875" style="62" bestFit="1" customWidth="1"/>
    <col min="2585" max="2585" width="7.109375" style="62" bestFit="1" customWidth="1"/>
    <col min="2586" max="2586" width="13.44140625" style="62" bestFit="1" customWidth="1"/>
    <col min="2587" max="2587" width="7.109375" style="62" bestFit="1" customWidth="1"/>
    <col min="2588" max="2588" width="12" style="62" bestFit="1" customWidth="1"/>
    <col min="2589" max="2589" width="15.88671875" style="62" bestFit="1" customWidth="1"/>
    <col min="2590" max="2590" width="17.33203125" style="62" bestFit="1" customWidth="1"/>
    <col min="2591" max="2591" width="5.88671875" style="62" bestFit="1" customWidth="1"/>
    <col min="2592" max="2592" width="21.109375" style="62" bestFit="1" customWidth="1"/>
    <col min="2593" max="2593" width="17" style="62" bestFit="1" customWidth="1"/>
    <col min="2594" max="2594" width="24.5546875" style="62" bestFit="1" customWidth="1"/>
    <col min="2595" max="2595" width="11.44140625" style="62" bestFit="1" customWidth="1"/>
    <col min="2596" max="2609" width="0" style="62" hidden="1"/>
    <col min="2610" max="2822" width="9.109375" style="62" customWidth="1"/>
    <col min="2823" max="2823" width="0" style="62" hidden="1"/>
    <col min="2824" max="2824" width="4.109375" style="62" customWidth="1"/>
    <col min="2825" max="2825" width="19.109375" style="62" customWidth="1"/>
    <col min="2826" max="2826" width="19.109375" style="62" bestFit="1" customWidth="1"/>
    <col min="2827" max="2828" width="15.44140625" style="62" bestFit="1" customWidth="1"/>
    <col min="2829" max="2830" width="13.109375" style="62" bestFit="1" customWidth="1"/>
    <col min="2831" max="2831" width="20" style="62" bestFit="1" customWidth="1"/>
    <col min="2832" max="2832" width="12.44140625" style="62" bestFit="1" customWidth="1"/>
    <col min="2833" max="2833" width="17.33203125" style="62" bestFit="1" customWidth="1"/>
    <col min="2834" max="2834" width="15.44140625" style="62" bestFit="1" customWidth="1"/>
    <col min="2835" max="2835" width="13.109375" style="62" bestFit="1" customWidth="1"/>
    <col min="2836" max="2836" width="12.88671875" style="62" bestFit="1" customWidth="1"/>
    <col min="2837" max="2837" width="21.5546875" style="62" bestFit="1" customWidth="1"/>
    <col min="2838" max="2838" width="17" style="62" bestFit="1" customWidth="1"/>
    <col min="2839" max="2839" width="17.33203125" style="62" bestFit="1" customWidth="1"/>
    <col min="2840" max="2840" width="12.88671875" style="62" bestFit="1" customWidth="1"/>
    <col min="2841" max="2841" width="7.109375" style="62" bestFit="1" customWidth="1"/>
    <col min="2842" max="2842" width="13.44140625" style="62" bestFit="1" customWidth="1"/>
    <col min="2843" max="2843" width="7.109375" style="62" bestFit="1" customWidth="1"/>
    <col min="2844" max="2844" width="12" style="62" bestFit="1" customWidth="1"/>
    <col min="2845" max="2845" width="15.88671875" style="62" bestFit="1" customWidth="1"/>
    <col min="2846" max="2846" width="17.33203125" style="62" bestFit="1" customWidth="1"/>
    <col min="2847" max="2847" width="5.88671875" style="62" bestFit="1" customWidth="1"/>
    <col min="2848" max="2848" width="21.109375" style="62" bestFit="1" customWidth="1"/>
    <col min="2849" max="2849" width="17" style="62" bestFit="1" customWidth="1"/>
    <col min="2850" max="2850" width="24.5546875" style="62" bestFit="1" customWidth="1"/>
    <col min="2851" max="2851" width="11.44140625" style="62" bestFit="1" customWidth="1"/>
    <col min="2852" max="2865" width="0" style="62" hidden="1"/>
    <col min="2866" max="3078" width="9.109375" style="62" customWidth="1"/>
    <col min="3079" max="3079" width="0" style="62" hidden="1"/>
    <col min="3080" max="3080" width="4.109375" style="62" customWidth="1"/>
    <col min="3081" max="3081" width="19.109375" style="62" customWidth="1"/>
    <col min="3082" max="3082" width="19.109375" style="62" bestFit="1" customWidth="1"/>
    <col min="3083" max="3084" width="15.44140625" style="62" bestFit="1" customWidth="1"/>
    <col min="3085" max="3086" width="13.109375" style="62" bestFit="1" customWidth="1"/>
    <col min="3087" max="3087" width="20" style="62" bestFit="1" customWidth="1"/>
    <col min="3088" max="3088" width="12.44140625" style="62" bestFit="1" customWidth="1"/>
    <col min="3089" max="3089" width="17.33203125" style="62" bestFit="1" customWidth="1"/>
    <col min="3090" max="3090" width="15.44140625" style="62" bestFit="1" customWidth="1"/>
    <col min="3091" max="3091" width="13.109375" style="62" bestFit="1" customWidth="1"/>
    <col min="3092" max="3092" width="12.88671875" style="62" bestFit="1" customWidth="1"/>
    <col min="3093" max="3093" width="21.5546875" style="62" bestFit="1" customWidth="1"/>
    <col min="3094" max="3094" width="17" style="62" bestFit="1" customWidth="1"/>
    <col min="3095" max="3095" width="17.33203125" style="62" bestFit="1" customWidth="1"/>
    <col min="3096" max="3096" width="12.88671875" style="62" bestFit="1" customWidth="1"/>
    <col min="3097" max="3097" width="7.109375" style="62" bestFit="1" customWidth="1"/>
    <col min="3098" max="3098" width="13.44140625" style="62" bestFit="1" customWidth="1"/>
    <col min="3099" max="3099" width="7.109375" style="62" bestFit="1" customWidth="1"/>
    <col min="3100" max="3100" width="12" style="62" bestFit="1" customWidth="1"/>
    <col min="3101" max="3101" width="15.88671875" style="62" bestFit="1" customWidth="1"/>
    <col min="3102" max="3102" width="17.33203125" style="62" bestFit="1" customWidth="1"/>
    <col min="3103" max="3103" width="5.88671875" style="62" bestFit="1" customWidth="1"/>
    <col min="3104" max="3104" width="21.109375" style="62" bestFit="1" customWidth="1"/>
    <col min="3105" max="3105" width="17" style="62" bestFit="1" customWidth="1"/>
    <col min="3106" max="3106" width="24.5546875" style="62" bestFit="1" customWidth="1"/>
    <col min="3107" max="3107" width="11.44140625" style="62" bestFit="1" customWidth="1"/>
    <col min="3108" max="3121" width="0" style="62" hidden="1"/>
    <col min="3122" max="3334" width="9.109375" style="62" customWidth="1"/>
    <col min="3335" max="3335" width="0" style="62" hidden="1"/>
    <col min="3336" max="3336" width="4.109375" style="62" customWidth="1"/>
    <col min="3337" max="3337" width="19.109375" style="62" customWidth="1"/>
    <col min="3338" max="3338" width="19.109375" style="62" bestFit="1" customWidth="1"/>
    <col min="3339" max="3340" width="15.44140625" style="62" bestFit="1" customWidth="1"/>
    <col min="3341" max="3342" width="13.109375" style="62" bestFit="1" customWidth="1"/>
    <col min="3343" max="3343" width="20" style="62" bestFit="1" customWidth="1"/>
    <col min="3344" max="3344" width="12.44140625" style="62" bestFit="1" customWidth="1"/>
    <col min="3345" max="3345" width="17.33203125" style="62" bestFit="1" customWidth="1"/>
    <col min="3346" max="3346" width="15.44140625" style="62" bestFit="1" customWidth="1"/>
    <col min="3347" max="3347" width="13.109375" style="62" bestFit="1" customWidth="1"/>
    <col min="3348" max="3348" width="12.88671875" style="62" bestFit="1" customWidth="1"/>
    <col min="3349" max="3349" width="21.5546875" style="62" bestFit="1" customWidth="1"/>
    <col min="3350" max="3350" width="17" style="62" bestFit="1" customWidth="1"/>
    <col min="3351" max="3351" width="17.33203125" style="62" bestFit="1" customWidth="1"/>
    <col min="3352" max="3352" width="12.88671875" style="62" bestFit="1" customWidth="1"/>
    <col min="3353" max="3353" width="7.109375" style="62" bestFit="1" customWidth="1"/>
    <col min="3354" max="3354" width="13.44140625" style="62" bestFit="1" customWidth="1"/>
    <col min="3355" max="3355" width="7.109375" style="62" bestFit="1" customWidth="1"/>
    <col min="3356" max="3356" width="12" style="62" bestFit="1" customWidth="1"/>
    <col min="3357" max="3357" width="15.88671875" style="62" bestFit="1" customWidth="1"/>
    <col min="3358" max="3358" width="17.33203125" style="62" bestFit="1" customWidth="1"/>
    <col min="3359" max="3359" width="5.88671875" style="62" bestFit="1" customWidth="1"/>
    <col min="3360" max="3360" width="21.109375" style="62" bestFit="1" customWidth="1"/>
    <col min="3361" max="3361" width="17" style="62" bestFit="1" customWidth="1"/>
    <col min="3362" max="3362" width="24.5546875" style="62" bestFit="1" customWidth="1"/>
    <col min="3363" max="3363" width="11.44140625" style="62" bestFit="1" customWidth="1"/>
    <col min="3364" max="3377" width="0" style="62" hidden="1"/>
    <col min="3378" max="3590" width="9.109375" style="62" customWidth="1"/>
    <col min="3591" max="3591" width="0" style="62" hidden="1"/>
    <col min="3592" max="3592" width="4.109375" style="62" customWidth="1"/>
    <col min="3593" max="3593" width="19.109375" style="62" customWidth="1"/>
    <col min="3594" max="3594" width="19.109375" style="62" bestFit="1" customWidth="1"/>
    <col min="3595" max="3596" width="15.44140625" style="62" bestFit="1" customWidth="1"/>
    <col min="3597" max="3598" width="13.109375" style="62" bestFit="1" customWidth="1"/>
    <col min="3599" max="3599" width="20" style="62" bestFit="1" customWidth="1"/>
    <col min="3600" max="3600" width="12.44140625" style="62" bestFit="1" customWidth="1"/>
    <col min="3601" max="3601" width="17.33203125" style="62" bestFit="1" customWidth="1"/>
    <col min="3602" max="3602" width="15.44140625" style="62" bestFit="1" customWidth="1"/>
    <col min="3603" max="3603" width="13.109375" style="62" bestFit="1" customWidth="1"/>
    <col min="3604" max="3604" width="12.88671875" style="62" bestFit="1" customWidth="1"/>
    <col min="3605" max="3605" width="21.5546875" style="62" bestFit="1" customWidth="1"/>
    <col min="3606" max="3606" width="17" style="62" bestFit="1" customWidth="1"/>
    <col min="3607" max="3607" width="17.33203125" style="62" bestFit="1" customWidth="1"/>
    <col min="3608" max="3608" width="12.88671875" style="62" bestFit="1" customWidth="1"/>
    <col min="3609" max="3609" width="7.109375" style="62" bestFit="1" customWidth="1"/>
    <col min="3610" max="3610" width="13.44140625" style="62" bestFit="1" customWidth="1"/>
    <col min="3611" max="3611" width="7.109375" style="62" bestFit="1" customWidth="1"/>
    <col min="3612" max="3612" width="12" style="62" bestFit="1" customWidth="1"/>
    <col min="3613" max="3613" width="15.88671875" style="62" bestFit="1" customWidth="1"/>
    <col min="3614" max="3614" width="17.33203125" style="62" bestFit="1" customWidth="1"/>
    <col min="3615" max="3615" width="5.88671875" style="62" bestFit="1" customWidth="1"/>
    <col min="3616" max="3616" width="21.109375" style="62" bestFit="1" customWidth="1"/>
    <col min="3617" max="3617" width="17" style="62" bestFit="1" customWidth="1"/>
    <col min="3618" max="3618" width="24.5546875" style="62" bestFit="1" customWidth="1"/>
    <col min="3619" max="3619" width="11.44140625" style="62" bestFit="1" customWidth="1"/>
    <col min="3620" max="3633" width="0" style="62" hidden="1"/>
    <col min="3634" max="3846" width="9.109375" style="62" customWidth="1"/>
    <col min="3847" max="3847" width="0" style="62" hidden="1"/>
    <col min="3848" max="3848" width="4.109375" style="62" customWidth="1"/>
    <col min="3849" max="3849" width="19.109375" style="62" customWidth="1"/>
    <col min="3850" max="3850" width="19.109375" style="62" bestFit="1" customWidth="1"/>
    <col min="3851" max="3852" width="15.44140625" style="62" bestFit="1" customWidth="1"/>
    <col min="3853" max="3854" width="13.109375" style="62" bestFit="1" customWidth="1"/>
    <col min="3855" max="3855" width="20" style="62" bestFit="1" customWidth="1"/>
    <col min="3856" max="3856" width="12.44140625" style="62" bestFit="1" customWidth="1"/>
    <col min="3857" max="3857" width="17.33203125" style="62" bestFit="1" customWidth="1"/>
    <col min="3858" max="3858" width="15.44140625" style="62" bestFit="1" customWidth="1"/>
    <col min="3859" max="3859" width="13.109375" style="62" bestFit="1" customWidth="1"/>
    <col min="3860" max="3860" width="12.88671875" style="62" bestFit="1" customWidth="1"/>
    <col min="3861" max="3861" width="21.5546875" style="62" bestFit="1" customWidth="1"/>
    <col min="3862" max="3862" width="17" style="62" bestFit="1" customWidth="1"/>
    <col min="3863" max="3863" width="17.33203125" style="62" bestFit="1" customWidth="1"/>
    <col min="3864" max="3864" width="12.88671875" style="62" bestFit="1" customWidth="1"/>
    <col min="3865" max="3865" width="7.109375" style="62" bestFit="1" customWidth="1"/>
    <col min="3866" max="3866" width="13.44140625" style="62" bestFit="1" customWidth="1"/>
    <col min="3867" max="3867" width="7.109375" style="62" bestFit="1" customWidth="1"/>
    <col min="3868" max="3868" width="12" style="62" bestFit="1" customWidth="1"/>
    <col min="3869" max="3869" width="15.88671875" style="62" bestFit="1" customWidth="1"/>
    <col min="3870" max="3870" width="17.33203125" style="62" bestFit="1" customWidth="1"/>
    <col min="3871" max="3871" width="5.88671875" style="62" bestFit="1" customWidth="1"/>
    <col min="3872" max="3872" width="21.109375" style="62" bestFit="1" customWidth="1"/>
    <col min="3873" max="3873" width="17" style="62" bestFit="1" customWidth="1"/>
    <col min="3874" max="3874" width="24.5546875" style="62" bestFit="1" customWidth="1"/>
    <col min="3875" max="3875" width="11.44140625" style="62" bestFit="1" customWidth="1"/>
    <col min="3876" max="3889" width="0" style="62" hidden="1"/>
    <col min="3890" max="4102" width="9.109375" style="62" customWidth="1"/>
    <col min="4103" max="4103" width="0" style="62" hidden="1"/>
    <col min="4104" max="4104" width="4.109375" style="62" customWidth="1"/>
    <col min="4105" max="4105" width="19.109375" style="62" customWidth="1"/>
    <col min="4106" max="4106" width="19.109375" style="62" bestFit="1" customWidth="1"/>
    <col min="4107" max="4108" width="15.44140625" style="62" bestFit="1" customWidth="1"/>
    <col min="4109" max="4110" width="13.109375" style="62" bestFit="1" customWidth="1"/>
    <col min="4111" max="4111" width="20" style="62" bestFit="1" customWidth="1"/>
    <col min="4112" max="4112" width="12.44140625" style="62" bestFit="1" customWidth="1"/>
    <col min="4113" max="4113" width="17.33203125" style="62" bestFit="1" customWidth="1"/>
    <col min="4114" max="4114" width="15.44140625" style="62" bestFit="1" customWidth="1"/>
    <col min="4115" max="4115" width="13.109375" style="62" bestFit="1" customWidth="1"/>
    <col min="4116" max="4116" width="12.88671875" style="62" bestFit="1" customWidth="1"/>
    <col min="4117" max="4117" width="21.5546875" style="62" bestFit="1" customWidth="1"/>
    <col min="4118" max="4118" width="17" style="62" bestFit="1" customWidth="1"/>
    <col min="4119" max="4119" width="17.33203125" style="62" bestFit="1" customWidth="1"/>
    <col min="4120" max="4120" width="12.88671875" style="62" bestFit="1" customWidth="1"/>
    <col min="4121" max="4121" width="7.109375" style="62" bestFit="1" customWidth="1"/>
    <col min="4122" max="4122" width="13.44140625" style="62" bestFit="1" customWidth="1"/>
    <col min="4123" max="4123" width="7.109375" style="62" bestFit="1" customWidth="1"/>
    <col min="4124" max="4124" width="12" style="62" bestFit="1" customWidth="1"/>
    <col min="4125" max="4125" width="15.88671875" style="62" bestFit="1" customWidth="1"/>
    <col min="4126" max="4126" width="17.33203125" style="62" bestFit="1" customWidth="1"/>
    <col min="4127" max="4127" width="5.88671875" style="62" bestFit="1" customWidth="1"/>
    <col min="4128" max="4128" width="21.109375" style="62" bestFit="1" customWidth="1"/>
    <col min="4129" max="4129" width="17" style="62" bestFit="1" customWidth="1"/>
    <col min="4130" max="4130" width="24.5546875" style="62" bestFit="1" customWidth="1"/>
    <col min="4131" max="4131" width="11.44140625" style="62" bestFit="1" customWidth="1"/>
    <col min="4132" max="4145" width="0" style="62" hidden="1"/>
    <col min="4146" max="4358" width="9.109375" style="62" customWidth="1"/>
    <col min="4359" max="4359" width="0" style="62" hidden="1"/>
    <col min="4360" max="4360" width="4.109375" style="62" customWidth="1"/>
    <col min="4361" max="4361" width="19.109375" style="62" customWidth="1"/>
    <col min="4362" max="4362" width="19.109375" style="62" bestFit="1" customWidth="1"/>
    <col min="4363" max="4364" width="15.44140625" style="62" bestFit="1" customWidth="1"/>
    <col min="4365" max="4366" width="13.109375" style="62" bestFit="1" customWidth="1"/>
    <col min="4367" max="4367" width="20" style="62" bestFit="1" customWidth="1"/>
    <col min="4368" max="4368" width="12.44140625" style="62" bestFit="1" customWidth="1"/>
    <col min="4369" max="4369" width="17.33203125" style="62" bestFit="1" customWidth="1"/>
    <col min="4370" max="4370" width="15.44140625" style="62" bestFit="1" customWidth="1"/>
    <col min="4371" max="4371" width="13.109375" style="62" bestFit="1" customWidth="1"/>
    <col min="4372" max="4372" width="12.88671875" style="62" bestFit="1" customWidth="1"/>
    <col min="4373" max="4373" width="21.5546875" style="62" bestFit="1" customWidth="1"/>
    <col min="4374" max="4374" width="17" style="62" bestFit="1" customWidth="1"/>
    <col min="4375" max="4375" width="17.33203125" style="62" bestFit="1" customWidth="1"/>
    <col min="4376" max="4376" width="12.88671875" style="62" bestFit="1" customWidth="1"/>
    <col min="4377" max="4377" width="7.109375" style="62" bestFit="1" customWidth="1"/>
    <col min="4378" max="4378" width="13.44140625" style="62" bestFit="1" customWidth="1"/>
    <col min="4379" max="4379" width="7.109375" style="62" bestFit="1" customWidth="1"/>
    <col min="4380" max="4380" width="12" style="62" bestFit="1" customWidth="1"/>
    <col min="4381" max="4381" width="15.88671875" style="62" bestFit="1" customWidth="1"/>
    <col min="4382" max="4382" width="17.33203125" style="62" bestFit="1" customWidth="1"/>
    <col min="4383" max="4383" width="5.88671875" style="62" bestFit="1" customWidth="1"/>
    <col min="4384" max="4384" width="21.109375" style="62" bestFit="1" customWidth="1"/>
    <col min="4385" max="4385" width="17" style="62" bestFit="1" customWidth="1"/>
    <col min="4386" max="4386" width="24.5546875" style="62" bestFit="1" customWidth="1"/>
    <col min="4387" max="4387" width="11.44140625" style="62" bestFit="1" customWidth="1"/>
    <col min="4388" max="4401" width="0" style="62" hidden="1"/>
    <col min="4402" max="4614" width="9.109375" style="62" customWidth="1"/>
    <col min="4615" max="4615" width="0" style="62" hidden="1"/>
    <col min="4616" max="4616" width="4.109375" style="62" customWidth="1"/>
    <col min="4617" max="4617" width="19.109375" style="62" customWidth="1"/>
    <col min="4618" max="4618" width="19.109375" style="62" bestFit="1" customWidth="1"/>
    <col min="4619" max="4620" width="15.44140625" style="62" bestFit="1" customWidth="1"/>
    <col min="4621" max="4622" width="13.109375" style="62" bestFit="1" customWidth="1"/>
    <col min="4623" max="4623" width="20" style="62" bestFit="1" customWidth="1"/>
    <col min="4624" max="4624" width="12.44140625" style="62" bestFit="1" customWidth="1"/>
    <col min="4625" max="4625" width="17.33203125" style="62" bestFit="1" customWidth="1"/>
    <col min="4626" max="4626" width="15.44140625" style="62" bestFit="1" customWidth="1"/>
    <col min="4627" max="4627" width="13.109375" style="62" bestFit="1" customWidth="1"/>
    <col min="4628" max="4628" width="12.88671875" style="62" bestFit="1" customWidth="1"/>
    <col min="4629" max="4629" width="21.5546875" style="62" bestFit="1" customWidth="1"/>
    <col min="4630" max="4630" width="17" style="62" bestFit="1" customWidth="1"/>
    <col min="4631" max="4631" width="17.33203125" style="62" bestFit="1" customWidth="1"/>
    <col min="4632" max="4632" width="12.88671875" style="62" bestFit="1" customWidth="1"/>
    <col min="4633" max="4633" width="7.109375" style="62" bestFit="1" customWidth="1"/>
    <col min="4634" max="4634" width="13.44140625" style="62" bestFit="1" customWidth="1"/>
    <col min="4635" max="4635" width="7.109375" style="62" bestFit="1" customWidth="1"/>
    <col min="4636" max="4636" width="12" style="62" bestFit="1" customWidth="1"/>
    <col min="4637" max="4637" width="15.88671875" style="62" bestFit="1" customWidth="1"/>
    <col min="4638" max="4638" width="17.33203125" style="62" bestFit="1" customWidth="1"/>
    <col min="4639" max="4639" width="5.88671875" style="62" bestFit="1" customWidth="1"/>
    <col min="4640" max="4640" width="21.109375" style="62" bestFit="1" customWidth="1"/>
    <col min="4641" max="4641" width="17" style="62" bestFit="1" customWidth="1"/>
    <col min="4642" max="4642" width="24.5546875" style="62" bestFit="1" customWidth="1"/>
    <col min="4643" max="4643" width="11.44140625" style="62" bestFit="1" customWidth="1"/>
    <col min="4644" max="4657" width="0" style="62" hidden="1"/>
    <col min="4658" max="4870" width="9.109375" style="62" customWidth="1"/>
    <col min="4871" max="4871" width="0" style="62" hidden="1"/>
    <col min="4872" max="4872" width="4.109375" style="62" customWidth="1"/>
    <col min="4873" max="4873" width="19.109375" style="62" customWidth="1"/>
    <col min="4874" max="4874" width="19.109375" style="62" bestFit="1" customWidth="1"/>
    <col min="4875" max="4876" width="15.44140625" style="62" bestFit="1" customWidth="1"/>
    <col min="4877" max="4878" width="13.109375" style="62" bestFit="1" customWidth="1"/>
    <col min="4879" max="4879" width="20" style="62" bestFit="1" customWidth="1"/>
    <col min="4880" max="4880" width="12.44140625" style="62" bestFit="1" customWidth="1"/>
    <col min="4881" max="4881" width="17.33203125" style="62" bestFit="1" customWidth="1"/>
    <col min="4882" max="4882" width="15.44140625" style="62" bestFit="1" customWidth="1"/>
    <col min="4883" max="4883" width="13.109375" style="62" bestFit="1" customWidth="1"/>
    <col min="4884" max="4884" width="12.88671875" style="62" bestFit="1" customWidth="1"/>
    <col min="4885" max="4885" width="21.5546875" style="62" bestFit="1" customWidth="1"/>
    <col min="4886" max="4886" width="17" style="62" bestFit="1" customWidth="1"/>
    <col min="4887" max="4887" width="17.33203125" style="62" bestFit="1" customWidth="1"/>
    <col min="4888" max="4888" width="12.88671875" style="62" bestFit="1" customWidth="1"/>
    <col min="4889" max="4889" width="7.109375" style="62" bestFit="1" customWidth="1"/>
    <col min="4890" max="4890" width="13.44140625" style="62" bestFit="1" customWidth="1"/>
    <col min="4891" max="4891" width="7.109375" style="62" bestFit="1" customWidth="1"/>
    <col min="4892" max="4892" width="12" style="62" bestFit="1" customWidth="1"/>
    <col min="4893" max="4893" width="15.88671875" style="62" bestFit="1" customWidth="1"/>
    <col min="4894" max="4894" width="17.33203125" style="62" bestFit="1" customWidth="1"/>
    <col min="4895" max="4895" width="5.88671875" style="62" bestFit="1" customWidth="1"/>
    <col min="4896" max="4896" width="21.109375" style="62" bestFit="1" customWidth="1"/>
    <col min="4897" max="4897" width="17" style="62" bestFit="1" customWidth="1"/>
    <col min="4898" max="4898" width="24.5546875" style="62" bestFit="1" customWidth="1"/>
    <col min="4899" max="4899" width="11.44140625" style="62" bestFit="1" customWidth="1"/>
    <col min="4900" max="4913" width="0" style="62" hidden="1"/>
    <col min="4914" max="5126" width="9.109375" style="62" customWidth="1"/>
    <col min="5127" max="5127" width="0" style="62" hidden="1"/>
    <col min="5128" max="5128" width="4.109375" style="62" customWidth="1"/>
    <col min="5129" max="5129" width="19.109375" style="62" customWidth="1"/>
    <col min="5130" max="5130" width="19.109375" style="62" bestFit="1" customWidth="1"/>
    <col min="5131" max="5132" width="15.44140625" style="62" bestFit="1" customWidth="1"/>
    <col min="5133" max="5134" width="13.109375" style="62" bestFit="1" customWidth="1"/>
    <col min="5135" max="5135" width="20" style="62" bestFit="1" customWidth="1"/>
    <col min="5136" max="5136" width="12.44140625" style="62" bestFit="1" customWidth="1"/>
    <col min="5137" max="5137" width="17.33203125" style="62" bestFit="1" customWidth="1"/>
    <col min="5138" max="5138" width="15.44140625" style="62" bestFit="1" customWidth="1"/>
    <col min="5139" max="5139" width="13.109375" style="62" bestFit="1" customWidth="1"/>
    <col min="5140" max="5140" width="12.88671875" style="62" bestFit="1" customWidth="1"/>
    <col min="5141" max="5141" width="21.5546875" style="62" bestFit="1" customWidth="1"/>
    <col min="5142" max="5142" width="17" style="62" bestFit="1" customWidth="1"/>
    <col min="5143" max="5143" width="17.33203125" style="62" bestFit="1" customWidth="1"/>
    <col min="5144" max="5144" width="12.88671875" style="62" bestFit="1" customWidth="1"/>
    <col min="5145" max="5145" width="7.109375" style="62" bestFit="1" customWidth="1"/>
    <col min="5146" max="5146" width="13.44140625" style="62" bestFit="1" customWidth="1"/>
    <col min="5147" max="5147" width="7.109375" style="62" bestFit="1" customWidth="1"/>
    <col min="5148" max="5148" width="12" style="62" bestFit="1" customWidth="1"/>
    <col min="5149" max="5149" width="15.88671875" style="62" bestFit="1" customWidth="1"/>
    <col min="5150" max="5150" width="17.33203125" style="62" bestFit="1" customWidth="1"/>
    <col min="5151" max="5151" width="5.88671875" style="62" bestFit="1" customWidth="1"/>
    <col min="5152" max="5152" width="21.109375" style="62" bestFit="1" customWidth="1"/>
    <col min="5153" max="5153" width="17" style="62" bestFit="1" customWidth="1"/>
    <col min="5154" max="5154" width="24.5546875" style="62" bestFit="1" customWidth="1"/>
    <col min="5155" max="5155" width="11.44140625" style="62" bestFit="1" customWidth="1"/>
    <col min="5156" max="5169" width="0" style="62" hidden="1"/>
    <col min="5170" max="5382" width="9.109375" style="62" customWidth="1"/>
    <col min="5383" max="5383" width="0" style="62" hidden="1"/>
    <col min="5384" max="5384" width="4.109375" style="62" customWidth="1"/>
    <col min="5385" max="5385" width="19.109375" style="62" customWidth="1"/>
    <col min="5386" max="5386" width="19.109375" style="62" bestFit="1" customWidth="1"/>
    <col min="5387" max="5388" width="15.44140625" style="62" bestFit="1" customWidth="1"/>
    <col min="5389" max="5390" width="13.109375" style="62" bestFit="1" customWidth="1"/>
    <col min="5391" max="5391" width="20" style="62" bestFit="1" customWidth="1"/>
    <col min="5392" max="5392" width="12.44140625" style="62" bestFit="1" customWidth="1"/>
    <col min="5393" max="5393" width="17.33203125" style="62" bestFit="1" customWidth="1"/>
    <col min="5394" max="5394" width="15.44140625" style="62" bestFit="1" customWidth="1"/>
    <col min="5395" max="5395" width="13.109375" style="62" bestFit="1" customWidth="1"/>
    <col min="5396" max="5396" width="12.88671875" style="62" bestFit="1" customWidth="1"/>
    <col min="5397" max="5397" width="21.5546875" style="62" bestFit="1" customWidth="1"/>
    <col min="5398" max="5398" width="17" style="62" bestFit="1" customWidth="1"/>
    <col min="5399" max="5399" width="17.33203125" style="62" bestFit="1" customWidth="1"/>
    <col min="5400" max="5400" width="12.88671875" style="62" bestFit="1" customWidth="1"/>
    <col min="5401" max="5401" width="7.109375" style="62" bestFit="1" customWidth="1"/>
    <col min="5402" max="5402" width="13.44140625" style="62" bestFit="1" customWidth="1"/>
    <col min="5403" max="5403" width="7.109375" style="62" bestFit="1" customWidth="1"/>
    <col min="5404" max="5404" width="12" style="62" bestFit="1" customWidth="1"/>
    <col min="5405" max="5405" width="15.88671875" style="62" bestFit="1" customWidth="1"/>
    <col min="5406" max="5406" width="17.33203125" style="62" bestFit="1" customWidth="1"/>
    <col min="5407" max="5407" width="5.88671875" style="62" bestFit="1" customWidth="1"/>
    <col min="5408" max="5408" width="21.109375" style="62" bestFit="1" customWidth="1"/>
    <col min="5409" max="5409" width="17" style="62" bestFit="1" customWidth="1"/>
    <col min="5410" max="5410" width="24.5546875" style="62" bestFit="1" customWidth="1"/>
    <col min="5411" max="5411" width="11.44140625" style="62" bestFit="1" customWidth="1"/>
    <col min="5412" max="5425" width="0" style="62" hidden="1"/>
    <col min="5426" max="5638" width="9.109375" style="62" customWidth="1"/>
    <col min="5639" max="5639" width="0" style="62" hidden="1"/>
    <col min="5640" max="5640" width="4.109375" style="62" customWidth="1"/>
    <col min="5641" max="5641" width="19.109375" style="62" customWidth="1"/>
    <col min="5642" max="5642" width="19.109375" style="62" bestFit="1" customWidth="1"/>
    <col min="5643" max="5644" width="15.44140625" style="62" bestFit="1" customWidth="1"/>
    <col min="5645" max="5646" width="13.109375" style="62" bestFit="1" customWidth="1"/>
    <col min="5647" max="5647" width="20" style="62" bestFit="1" customWidth="1"/>
    <col min="5648" max="5648" width="12.44140625" style="62" bestFit="1" customWidth="1"/>
    <col min="5649" max="5649" width="17.33203125" style="62" bestFit="1" customWidth="1"/>
    <col min="5650" max="5650" width="15.44140625" style="62" bestFit="1" customWidth="1"/>
    <col min="5651" max="5651" width="13.109375" style="62" bestFit="1" customWidth="1"/>
    <col min="5652" max="5652" width="12.88671875" style="62" bestFit="1" customWidth="1"/>
    <col min="5653" max="5653" width="21.5546875" style="62" bestFit="1" customWidth="1"/>
    <col min="5654" max="5654" width="17" style="62" bestFit="1" customWidth="1"/>
    <col min="5655" max="5655" width="17.33203125" style="62" bestFit="1" customWidth="1"/>
    <col min="5656" max="5656" width="12.88671875" style="62" bestFit="1" customWidth="1"/>
    <col min="5657" max="5657" width="7.109375" style="62" bestFit="1" customWidth="1"/>
    <col min="5658" max="5658" width="13.44140625" style="62" bestFit="1" customWidth="1"/>
    <col min="5659" max="5659" width="7.109375" style="62" bestFit="1" customWidth="1"/>
    <col min="5660" max="5660" width="12" style="62" bestFit="1" customWidth="1"/>
    <col min="5661" max="5661" width="15.88671875" style="62" bestFit="1" customWidth="1"/>
    <col min="5662" max="5662" width="17.33203125" style="62" bestFit="1" customWidth="1"/>
    <col min="5663" max="5663" width="5.88671875" style="62" bestFit="1" customWidth="1"/>
    <col min="5664" max="5664" width="21.109375" style="62" bestFit="1" customWidth="1"/>
    <col min="5665" max="5665" width="17" style="62" bestFit="1" customWidth="1"/>
    <col min="5666" max="5666" width="24.5546875" style="62" bestFit="1" customWidth="1"/>
    <col min="5667" max="5667" width="11.44140625" style="62" bestFit="1" customWidth="1"/>
    <col min="5668" max="5681" width="0" style="62" hidden="1"/>
    <col min="5682" max="5894" width="9.109375" style="62" customWidth="1"/>
    <col min="5895" max="5895" width="0" style="62" hidden="1"/>
    <col min="5896" max="5896" width="4.109375" style="62" customWidth="1"/>
    <col min="5897" max="5897" width="19.109375" style="62" customWidth="1"/>
    <col min="5898" max="5898" width="19.109375" style="62" bestFit="1" customWidth="1"/>
    <col min="5899" max="5900" width="15.44140625" style="62" bestFit="1" customWidth="1"/>
    <col min="5901" max="5902" width="13.109375" style="62" bestFit="1" customWidth="1"/>
    <col min="5903" max="5903" width="20" style="62" bestFit="1" customWidth="1"/>
    <col min="5904" max="5904" width="12.44140625" style="62" bestFit="1" customWidth="1"/>
    <col min="5905" max="5905" width="17.33203125" style="62" bestFit="1" customWidth="1"/>
    <col min="5906" max="5906" width="15.44140625" style="62" bestFit="1" customWidth="1"/>
    <col min="5907" max="5907" width="13.109375" style="62" bestFit="1" customWidth="1"/>
    <col min="5908" max="5908" width="12.88671875" style="62" bestFit="1" customWidth="1"/>
    <col min="5909" max="5909" width="21.5546875" style="62" bestFit="1" customWidth="1"/>
    <col min="5910" max="5910" width="17" style="62" bestFit="1" customWidth="1"/>
    <col min="5911" max="5911" width="17.33203125" style="62" bestFit="1" customWidth="1"/>
    <col min="5912" max="5912" width="12.88671875" style="62" bestFit="1" customWidth="1"/>
    <col min="5913" max="5913" width="7.109375" style="62" bestFit="1" customWidth="1"/>
    <col min="5914" max="5914" width="13.44140625" style="62" bestFit="1" customWidth="1"/>
    <col min="5915" max="5915" width="7.109375" style="62" bestFit="1" customWidth="1"/>
    <col min="5916" max="5916" width="12" style="62" bestFit="1" customWidth="1"/>
    <col min="5917" max="5917" width="15.88671875" style="62" bestFit="1" customWidth="1"/>
    <col min="5918" max="5918" width="17.33203125" style="62" bestFit="1" customWidth="1"/>
    <col min="5919" max="5919" width="5.88671875" style="62" bestFit="1" customWidth="1"/>
    <col min="5920" max="5920" width="21.109375" style="62" bestFit="1" customWidth="1"/>
    <col min="5921" max="5921" width="17" style="62" bestFit="1" customWidth="1"/>
    <col min="5922" max="5922" width="24.5546875" style="62" bestFit="1" customWidth="1"/>
    <col min="5923" max="5923" width="11.44140625" style="62" bestFit="1" customWidth="1"/>
    <col min="5924" max="5937" width="0" style="62" hidden="1"/>
    <col min="5938" max="6150" width="9.109375" style="62" customWidth="1"/>
    <col min="6151" max="6151" width="0" style="62" hidden="1"/>
    <col min="6152" max="6152" width="4.109375" style="62" customWidth="1"/>
    <col min="6153" max="6153" width="19.109375" style="62" customWidth="1"/>
    <col min="6154" max="6154" width="19.109375" style="62" bestFit="1" customWidth="1"/>
    <col min="6155" max="6156" width="15.44140625" style="62" bestFit="1" customWidth="1"/>
    <col min="6157" max="6158" width="13.109375" style="62" bestFit="1" customWidth="1"/>
    <col min="6159" max="6159" width="20" style="62" bestFit="1" customWidth="1"/>
    <col min="6160" max="6160" width="12.44140625" style="62" bestFit="1" customWidth="1"/>
    <col min="6161" max="6161" width="17.33203125" style="62" bestFit="1" customWidth="1"/>
    <col min="6162" max="6162" width="15.44140625" style="62" bestFit="1" customWidth="1"/>
    <col min="6163" max="6163" width="13.109375" style="62" bestFit="1" customWidth="1"/>
    <col min="6164" max="6164" width="12.88671875" style="62" bestFit="1" customWidth="1"/>
    <col min="6165" max="6165" width="21.5546875" style="62" bestFit="1" customWidth="1"/>
    <col min="6166" max="6166" width="17" style="62" bestFit="1" customWidth="1"/>
    <col min="6167" max="6167" width="17.33203125" style="62" bestFit="1" customWidth="1"/>
    <col min="6168" max="6168" width="12.88671875" style="62" bestFit="1" customWidth="1"/>
    <col min="6169" max="6169" width="7.109375" style="62" bestFit="1" customWidth="1"/>
    <col min="6170" max="6170" width="13.44140625" style="62" bestFit="1" customWidth="1"/>
    <col min="6171" max="6171" width="7.109375" style="62" bestFit="1" customWidth="1"/>
    <col min="6172" max="6172" width="12" style="62" bestFit="1" customWidth="1"/>
    <col min="6173" max="6173" width="15.88671875" style="62" bestFit="1" customWidth="1"/>
    <col min="6174" max="6174" width="17.33203125" style="62" bestFit="1" customWidth="1"/>
    <col min="6175" max="6175" width="5.88671875" style="62" bestFit="1" customWidth="1"/>
    <col min="6176" max="6176" width="21.109375" style="62" bestFit="1" customWidth="1"/>
    <col min="6177" max="6177" width="17" style="62" bestFit="1" customWidth="1"/>
    <col min="6178" max="6178" width="24.5546875" style="62" bestFit="1" customWidth="1"/>
    <col min="6179" max="6179" width="11.44140625" style="62" bestFit="1" customWidth="1"/>
    <col min="6180" max="6193" width="0" style="62" hidden="1"/>
    <col min="6194" max="6406" width="9.109375" style="62" customWidth="1"/>
    <col min="6407" max="6407" width="0" style="62" hidden="1"/>
    <col min="6408" max="6408" width="4.109375" style="62" customWidth="1"/>
    <col min="6409" max="6409" width="19.109375" style="62" customWidth="1"/>
    <col min="6410" max="6410" width="19.109375" style="62" bestFit="1" customWidth="1"/>
    <col min="6411" max="6412" width="15.44140625" style="62" bestFit="1" customWidth="1"/>
    <col min="6413" max="6414" width="13.109375" style="62" bestFit="1" customWidth="1"/>
    <col min="6415" max="6415" width="20" style="62" bestFit="1" customWidth="1"/>
    <col min="6416" max="6416" width="12.44140625" style="62" bestFit="1" customWidth="1"/>
    <col min="6417" max="6417" width="17.33203125" style="62" bestFit="1" customWidth="1"/>
    <col min="6418" max="6418" width="15.44140625" style="62" bestFit="1" customWidth="1"/>
    <col min="6419" max="6419" width="13.109375" style="62" bestFit="1" customWidth="1"/>
    <col min="6420" max="6420" width="12.88671875" style="62" bestFit="1" customWidth="1"/>
    <col min="6421" max="6421" width="21.5546875" style="62" bestFit="1" customWidth="1"/>
    <col min="6422" max="6422" width="17" style="62" bestFit="1" customWidth="1"/>
    <col min="6423" max="6423" width="17.33203125" style="62" bestFit="1" customWidth="1"/>
    <col min="6424" max="6424" width="12.88671875" style="62" bestFit="1" customWidth="1"/>
    <col min="6425" max="6425" width="7.109375" style="62" bestFit="1" customWidth="1"/>
    <col min="6426" max="6426" width="13.44140625" style="62" bestFit="1" customWidth="1"/>
    <col min="6427" max="6427" width="7.109375" style="62" bestFit="1" customWidth="1"/>
    <col min="6428" max="6428" width="12" style="62" bestFit="1" customWidth="1"/>
    <col min="6429" max="6429" width="15.88671875" style="62" bestFit="1" customWidth="1"/>
    <col min="6430" max="6430" width="17.33203125" style="62" bestFit="1" customWidth="1"/>
    <col min="6431" max="6431" width="5.88671875" style="62" bestFit="1" customWidth="1"/>
    <col min="6432" max="6432" width="21.109375" style="62" bestFit="1" customWidth="1"/>
    <col min="6433" max="6433" width="17" style="62" bestFit="1" customWidth="1"/>
    <col min="6434" max="6434" width="24.5546875" style="62" bestFit="1" customWidth="1"/>
    <col min="6435" max="6435" width="11.44140625" style="62" bestFit="1" customWidth="1"/>
    <col min="6436" max="6449" width="0" style="62" hidden="1"/>
    <col min="6450" max="6662" width="9.109375" style="62" customWidth="1"/>
    <col min="6663" max="6663" width="0" style="62" hidden="1"/>
    <col min="6664" max="6664" width="4.109375" style="62" customWidth="1"/>
    <col min="6665" max="6665" width="19.109375" style="62" customWidth="1"/>
    <col min="6666" max="6666" width="19.109375" style="62" bestFit="1" customWidth="1"/>
    <col min="6667" max="6668" width="15.44140625" style="62" bestFit="1" customWidth="1"/>
    <col min="6669" max="6670" width="13.109375" style="62" bestFit="1" customWidth="1"/>
    <col min="6671" max="6671" width="20" style="62" bestFit="1" customWidth="1"/>
    <col min="6672" max="6672" width="12.44140625" style="62" bestFit="1" customWidth="1"/>
    <col min="6673" max="6673" width="17.33203125" style="62" bestFit="1" customWidth="1"/>
    <col min="6674" max="6674" width="15.44140625" style="62" bestFit="1" customWidth="1"/>
    <col min="6675" max="6675" width="13.109375" style="62" bestFit="1" customWidth="1"/>
    <col min="6676" max="6676" width="12.88671875" style="62" bestFit="1" customWidth="1"/>
    <col min="6677" max="6677" width="21.5546875" style="62" bestFit="1" customWidth="1"/>
    <col min="6678" max="6678" width="17" style="62" bestFit="1" customWidth="1"/>
    <col min="6679" max="6679" width="17.33203125" style="62" bestFit="1" customWidth="1"/>
    <col min="6680" max="6680" width="12.88671875" style="62" bestFit="1" customWidth="1"/>
    <col min="6681" max="6681" width="7.109375" style="62" bestFit="1" customWidth="1"/>
    <col min="6682" max="6682" width="13.44140625" style="62" bestFit="1" customWidth="1"/>
    <col min="6683" max="6683" width="7.109375" style="62" bestFit="1" customWidth="1"/>
    <col min="6684" max="6684" width="12" style="62" bestFit="1" customWidth="1"/>
    <col min="6685" max="6685" width="15.88671875" style="62" bestFit="1" customWidth="1"/>
    <col min="6686" max="6686" width="17.33203125" style="62" bestFit="1" customWidth="1"/>
    <col min="6687" max="6687" width="5.88671875" style="62" bestFit="1" customWidth="1"/>
    <col min="6688" max="6688" width="21.109375" style="62" bestFit="1" customWidth="1"/>
    <col min="6689" max="6689" width="17" style="62" bestFit="1" customWidth="1"/>
    <col min="6690" max="6690" width="24.5546875" style="62" bestFit="1" customWidth="1"/>
    <col min="6691" max="6691" width="11.44140625" style="62" bestFit="1" customWidth="1"/>
    <col min="6692" max="6705" width="0" style="62" hidden="1"/>
    <col min="6706" max="6918" width="9.109375" style="62" customWidth="1"/>
    <col min="6919" max="6919" width="0" style="62" hidden="1"/>
    <col min="6920" max="6920" width="4.109375" style="62" customWidth="1"/>
    <col min="6921" max="6921" width="19.109375" style="62" customWidth="1"/>
    <col min="6922" max="6922" width="19.109375" style="62" bestFit="1" customWidth="1"/>
    <col min="6923" max="6924" width="15.44140625" style="62" bestFit="1" customWidth="1"/>
    <col min="6925" max="6926" width="13.109375" style="62" bestFit="1" customWidth="1"/>
    <col min="6927" max="6927" width="20" style="62" bestFit="1" customWidth="1"/>
    <col min="6928" max="6928" width="12.44140625" style="62" bestFit="1" customWidth="1"/>
    <col min="6929" max="6929" width="17.33203125" style="62" bestFit="1" customWidth="1"/>
    <col min="6930" max="6930" width="15.44140625" style="62" bestFit="1" customWidth="1"/>
    <col min="6931" max="6931" width="13.109375" style="62" bestFit="1" customWidth="1"/>
    <col min="6932" max="6932" width="12.88671875" style="62" bestFit="1" customWidth="1"/>
    <col min="6933" max="6933" width="21.5546875" style="62" bestFit="1" customWidth="1"/>
    <col min="6934" max="6934" width="17" style="62" bestFit="1" customWidth="1"/>
    <col min="6935" max="6935" width="17.33203125" style="62" bestFit="1" customWidth="1"/>
    <col min="6936" max="6936" width="12.88671875" style="62" bestFit="1" customWidth="1"/>
    <col min="6937" max="6937" width="7.109375" style="62" bestFit="1" customWidth="1"/>
    <col min="6938" max="6938" width="13.44140625" style="62" bestFit="1" customWidth="1"/>
    <col min="6939" max="6939" width="7.109375" style="62" bestFit="1" customWidth="1"/>
    <col min="6940" max="6940" width="12" style="62" bestFit="1" customWidth="1"/>
    <col min="6941" max="6941" width="15.88671875" style="62" bestFit="1" customWidth="1"/>
    <col min="6942" max="6942" width="17.33203125" style="62" bestFit="1" customWidth="1"/>
    <col min="6943" max="6943" width="5.88671875" style="62" bestFit="1" customWidth="1"/>
    <col min="6944" max="6944" width="21.109375" style="62" bestFit="1" customWidth="1"/>
    <col min="6945" max="6945" width="17" style="62" bestFit="1" customWidth="1"/>
    <col min="6946" max="6946" width="24.5546875" style="62" bestFit="1" customWidth="1"/>
    <col min="6947" max="6947" width="11.44140625" style="62" bestFit="1" customWidth="1"/>
    <col min="6948" max="6961" width="0" style="62" hidden="1"/>
    <col min="6962" max="7174" width="9.109375" style="62" customWidth="1"/>
    <col min="7175" max="7175" width="0" style="62" hidden="1"/>
    <col min="7176" max="7176" width="4.109375" style="62" customWidth="1"/>
    <col min="7177" max="7177" width="19.109375" style="62" customWidth="1"/>
    <col min="7178" max="7178" width="19.109375" style="62" bestFit="1" customWidth="1"/>
    <col min="7179" max="7180" width="15.44140625" style="62" bestFit="1" customWidth="1"/>
    <col min="7181" max="7182" width="13.109375" style="62" bestFit="1" customWidth="1"/>
    <col min="7183" max="7183" width="20" style="62" bestFit="1" customWidth="1"/>
    <col min="7184" max="7184" width="12.44140625" style="62" bestFit="1" customWidth="1"/>
    <col min="7185" max="7185" width="17.33203125" style="62" bestFit="1" customWidth="1"/>
    <col min="7186" max="7186" width="15.44140625" style="62" bestFit="1" customWidth="1"/>
    <col min="7187" max="7187" width="13.109375" style="62" bestFit="1" customWidth="1"/>
    <col min="7188" max="7188" width="12.88671875" style="62" bestFit="1" customWidth="1"/>
    <col min="7189" max="7189" width="21.5546875" style="62" bestFit="1" customWidth="1"/>
    <col min="7190" max="7190" width="17" style="62" bestFit="1" customWidth="1"/>
    <col min="7191" max="7191" width="17.33203125" style="62" bestFit="1" customWidth="1"/>
    <col min="7192" max="7192" width="12.88671875" style="62" bestFit="1" customWidth="1"/>
    <col min="7193" max="7193" width="7.109375" style="62" bestFit="1" customWidth="1"/>
    <col min="7194" max="7194" width="13.44140625" style="62" bestFit="1" customWidth="1"/>
    <col min="7195" max="7195" width="7.109375" style="62" bestFit="1" customWidth="1"/>
    <col min="7196" max="7196" width="12" style="62" bestFit="1" customWidth="1"/>
    <col min="7197" max="7197" width="15.88671875" style="62" bestFit="1" customWidth="1"/>
    <col min="7198" max="7198" width="17.33203125" style="62" bestFit="1" customWidth="1"/>
    <col min="7199" max="7199" width="5.88671875" style="62" bestFit="1" customWidth="1"/>
    <col min="7200" max="7200" width="21.109375" style="62" bestFit="1" customWidth="1"/>
    <col min="7201" max="7201" width="17" style="62" bestFit="1" customWidth="1"/>
    <col min="7202" max="7202" width="24.5546875" style="62" bestFit="1" customWidth="1"/>
    <col min="7203" max="7203" width="11.44140625" style="62" bestFit="1" customWidth="1"/>
    <col min="7204" max="7217" width="0" style="62" hidden="1"/>
    <col min="7218" max="7430" width="9.109375" style="62" customWidth="1"/>
    <col min="7431" max="7431" width="0" style="62" hidden="1"/>
    <col min="7432" max="7432" width="4.109375" style="62" customWidth="1"/>
    <col min="7433" max="7433" width="19.109375" style="62" customWidth="1"/>
    <col min="7434" max="7434" width="19.109375" style="62" bestFit="1" customWidth="1"/>
    <col min="7435" max="7436" width="15.44140625" style="62" bestFit="1" customWidth="1"/>
    <col min="7437" max="7438" width="13.109375" style="62" bestFit="1" customWidth="1"/>
    <col min="7439" max="7439" width="20" style="62" bestFit="1" customWidth="1"/>
    <col min="7440" max="7440" width="12.44140625" style="62" bestFit="1" customWidth="1"/>
    <col min="7441" max="7441" width="17.33203125" style="62" bestFit="1" customWidth="1"/>
    <col min="7442" max="7442" width="15.44140625" style="62" bestFit="1" customWidth="1"/>
    <col min="7443" max="7443" width="13.109375" style="62" bestFit="1" customWidth="1"/>
    <col min="7444" max="7444" width="12.88671875" style="62" bestFit="1" customWidth="1"/>
    <col min="7445" max="7445" width="21.5546875" style="62" bestFit="1" customWidth="1"/>
    <col min="7446" max="7446" width="17" style="62" bestFit="1" customWidth="1"/>
    <col min="7447" max="7447" width="17.33203125" style="62" bestFit="1" customWidth="1"/>
    <col min="7448" max="7448" width="12.88671875" style="62" bestFit="1" customWidth="1"/>
    <col min="7449" max="7449" width="7.109375" style="62" bestFit="1" customWidth="1"/>
    <col min="7450" max="7450" width="13.44140625" style="62" bestFit="1" customWidth="1"/>
    <col min="7451" max="7451" width="7.109375" style="62" bestFit="1" customWidth="1"/>
    <col min="7452" max="7452" width="12" style="62" bestFit="1" customWidth="1"/>
    <col min="7453" max="7453" width="15.88671875" style="62" bestFit="1" customWidth="1"/>
    <col min="7454" max="7454" width="17.33203125" style="62" bestFit="1" customWidth="1"/>
    <col min="7455" max="7455" width="5.88671875" style="62" bestFit="1" customWidth="1"/>
    <col min="7456" max="7456" width="21.109375" style="62" bestFit="1" customWidth="1"/>
    <col min="7457" max="7457" width="17" style="62" bestFit="1" customWidth="1"/>
    <col min="7458" max="7458" width="24.5546875" style="62" bestFit="1" customWidth="1"/>
    <col min="7459" max="7459" width="11.44140625" style="62" bestFit="1" customWidth="1"/>
    <col min="7460" max="7473" width="0" style="62" hidden="1"/>
    <col min="7474" max="7686" width="9.109375" style="62" customWidth="1"/>
    <col min="7687" max="7687" width="0" style="62" hidden="1"/>
    <col min="7688" max="7688" width="4.109375" style="62" customWidth="1"/>
    <col min="7689" max="7689" width="19.109375" style="62" customWidth="1"/>
    <col min="7690" max="7690" width="19.109375" style="62" bestFit="1" customWidth="1"/>
    <col min="7691" max="7692" width="15.44140625" style="62" bestFit="1" customWidth="1"/>
    <col min="7693" max="7694" width="13.109375" style="62" bestFit="1" customWidth="1"/>
    <col min="7695" max="7695" width="20" style="62" bestFit="1" customWidth="1"/>
    <col min="7696" max="7696" width="12.44140625" style="62" bestFit="1" customWidth="1"/>
    <col min="7697" max="7697" width="17.33203125" style="62" bestFit="1" customWidth="1"/>
    <col min="7698" max="7698" width="15.44140625" style="62" bestFit="1" customWidth="1"/>
    <col min="7699" max="7699" width="13.109375" style="62" bestFit="1" customWidth="1"/>
    <col min="7700" max="7700" width="12.88671875" style="62" bestFit="1" customWidth="1"/>
    <col min="7701" max="7701" width="21.5546875" style="62" bestFit="1" customWidth="1"/>
    <col min="7702" max="7702" width="17" style="62" bestFit="1" customWidth="1"/>
    <col min="7703" max="7703" width="17.33203125" style="62" bestFit="1" customWidth="1"/>
    <col min="7704" max="7704" width="12.88671875" style="62" bestFit="1" customWidth="1"/>
    <col min="7705" max="7705" width="7.109375" style="62" bestFit="1" customWidth="1"/>
    <col min="7706" max="7706" width="13.44140625" style="62" bestFit="1" customWidth="1"/>
    <col min="7707" max="7707" width="7.109375" style="62" bestFit="1" customWidth="1"/>
    <col min="7708" max="7708" width="12" style="62" bestFit="1" customWidth="1"/>
    <col min="7709" max="7709" width="15.88671875" style="62" bestFit="1" customWidth="1"/>
    <col min="7710" max="7710" width="17.33203125" style="62" bestFit="1" customWidth="1"/>
    <col min="7711" max="7711" width="5.88671875" style="62" bestFit="1" customWidth="1"/>
    <col min="7712" max="7712" width="21.109375" style="62" bestFit="1" customWidth="1"/>
    <col min="7713" max="7713" width="17" style="62" bestFit="1" customWidth="1"/>
    <col min="7714" max="7714" width="24.5546875" style="62" bestFit="1" customWidth="1"/>
    <col min="7715" max="7715" width="11.44140625" style="62" bestFit="1" customWidth="1"/>
    <col min="7716" max="7729" width="0" style="62" hidden="1"/>
    <col min="7730" max="7942" width="9.109375" style="62" customWidth="1"/>
    <col min="7943" max="7943" width="0" style="62" hidden="1"/>
    <col min="7944" max="7944" width="4.109375" style="62" customWidth="1"/>
    <col min="7945" max="7945" width="19.109375" style="62" customWidth="1"/>
    <col min="7946" max="7946" width="19.109375" style="62" bestFit="1" customWidth="1"/>
    <col min="7947" max="7948" width="15.44140625" style="62" bestFit="1" customWidth="1"/>
    <col min="7949" max="7950" width="13.109375" style="62" bestFit="1" customWidth="1"/>
    <col min="7951" max="7951" width="20" style="62" bestFit="1" customWidth="1"/>
    <col min="7952" max="7952" width="12.44140625" style="62" bestFit="1" customWidth="1"/>
    <col min="7953" max="7953" width="17.33203125" style="62" bestFit="1" customWidth="1"/>
    <col min="7954" max="7954" width="15.44140625" style="62" bestFit="1" customWidth="1"/>
    <col min="7955" max="7955" width="13.109375" style="62" bestFit="1" customWidth="1"/>
    <col min="7956" max="7956" width="12.88671875" style="62" bestFit="1" customWidth="1"/>
    <col min="7957" max="7957" width="21.5546875" style="62" bestFit="1" customWidth="1"/>
    <col min="7958" max="7958" width="17" style="62" bestFit="1" customWidth="1"/>
    <col min="7959" max="7959" width="17.33203125" style="62" bestFit="1" customWidth="1"/>
    <col min="7960" max="7960" width="12.88671875" style="62" bestFit="1" customWidth="1"/>
    <col min="7961" max="7961" width="7.109375" style="62" bestFit="1" customWidth="1"/>
    <col min="7962" max="7962" width="13.44140625" style="62" bestFit="1" customWidth="1"/>
    <col min="7963" max="7963" width="7.109375" style="62" bestFit="1" customWidth="1"/>
    <col min="7964" max="7964" width="12" style="62" bestFit="1" customWidth="1"/>
    <col min="7965" max="7965" width="15.88671875" style="62" bestFit="1" customWidth="1"/>
    <col min="7966" max="7966" width="17.33203125" style="62" bestFit="1" customWidth="1"/>
    <col min="7967" max="7967" width="5.88671875" style="62" bestFit="1" customWidth="1"/>
    <col min="7968" max="7968" width="21.109375" style="62" bestFit="1" customWidth="1"/>
    <col min="7969" max="7969" width="17" style="62" bestFit="1" customWidth="1"/>
    <col min="7970" max="7970" width="24.5546875" style="62" bestFit="1" customWidth="1"/>
    <col min="7971" max="7971" width="11.44140625" style="62" bestFit="1" customWidth="1"/>
    <col min="7972" max="7985" width="0" style="62" hidden="1"/>
    <col min="7986" max="8198" width="9.109375" style="62" customWidth="1"/>
    <col min="8199" max="8199" width="0" style="62" hidden="1"/>
    <col min="8200" max="8200" width="4.109375" style="62" customWidth="1"/>
    <col min="8201" max="8201" width="19.109375" style="62" customWidth="1"/>
    <col min="8202" max="8202" width="19.109375" style="62" bestFit="1" customWidth="1"/>
    <col min="8203" max="8204" width="15.44140625" style="62" bestFit="1" customWidth="1"/>
    <col min="8205" max="8206" width="13.109375" style="62" bestFit="1" customWidth="1"/>
    <col min="8207" max="8207" width="20" style="62" bestFit="1" customWidth="1"/>
    <col min="8208" max="8208" width="12.44140625" style="62" bestFit="1" customWidth="1"/>
    <col min="8209" max="8209" width="17.33203125" style="62" bestFit="1" customWidth="1"/>
    <col min="8210" max="8210" width="15.44140625" style="62" bestFit="1" customWidth="1"/>
    <col min="8211" max="8211" width="13.109375" style="62" bestFit="1" customWidth="1"/>
    <col min="8212" max="8212" width="12.88671875" style="62" bestFit="1" customWidth="1"/>
    <col min="8213" max="8213" width="21.5546875" style="62" bestFit="1" customWidth="1"/>
    <col min="8214" max="8214" width="17" style="62" bestFit="1" customWidth="1"/>
    <col min="8215" max="8215" width="17.33203125" style="62" bestFit="1" customWidth="1"/>
    <col min="8216" max="8216" width="12.88671875" style="62" bestFit="1" customWidth="1"/>
    <col min="8217" max="8217" width="7.109375" style="62" bestFit="1" customWidth="1"/>
    <col min="8218" max="8218" width="13.44140625" style="62" bestFit="1" customWidth="1"/>
    <col min="8219" max="8219" width="7.109375" style="62" bestFit="1" customWidth="1"/>
    <col min="8220" max="8220" width="12" style="62" bestFit="1" customWidth="1"/>
    <col min="8221" max="8221" width="15.88671875" style="62" bestFit="1" customWidth="1"/>
    <col min="8222" max="8222" width="17.33203125" style="62" bestFit="1" customWidth="1"/>
    <col min="8223" max="8223" width="5.88671875" style="62" bestFit="1" customWidth="1"/>
    <col min="8224" max="8224" width="21.109375" style="62" bestFit="1" customWidth="1"/>
    <col min="8225" max="8225" width="17" style="62" bestFit="1" customWidth="1"/>
    <col min="8226" max="8226" width="24.5546875" style="62" bestFit="1" customWidth="1"/>
    <col min="8227" max="8227" width="11.44140625" style="62" bestFit="1" customWidth="1"/>
    <col min="8228" max="8241" width="0" style="62" hidden="1"/>
    <col min="8242" max="8454" width="9.109375" style="62" customWidth="1"/>
    <col min="8455" max="8455" width="0" style="62" hidden="1"/>
    <col min="8456" max="8456" width="4.109375" style="62" customWidth="1"/>
    <col min="8457" max="8457" width="19.109375" style="62" customWidth="1"/>
    <col min="8458" max="8458" width="19.109375" style="62" bestFit="1" customWidth="1"/>
    <col min="8459" max="8460" width="15.44140625" style="62" bestFit="1" customWidth="1"/>
    <col min="8461" max="8462" width="13.109375" style="62" bestFit="1" customWidth="1"/>
    <col min="8463" max="8463" width="20" style="62" bestFit="1" customWidth="1"/>
    <col min="8464" max="8464" width="12.44140625" style="62" bestFit="1" customWidth="1"/>
    <col min="8465" max="8465" width="17.33203125" style="62" bestFit="1" customWidth="1"/>
    <col min="8466" max="8466" width="15.44140625" style="62" bestFit="1" customWidth="1"/>
    <col min="8467" max="8467" width="13.109375" style="62" bestFit="1" customWidth="1"/>
    <col min="8468" max="8468" width="12.88671875" style="62" bestFit="1" customWidth="1"/>
    <col min="8469" max="8469" width="21.5546875" style="62" bestFit="1" customWidth="1"/>
    <col min="8470" max="8470" width="17" style="62" bestFit="1" customWidth="1"/>
    <col min="8471" max="8471" width="17.33203125" style="62" bestFit="1" customWidth="1"/>
    <col min="8472" max="8472" width="12.88671875" style="62" bestFit="1" customWidth="1"/>
    <col min="8473" max="8473" width="7.109375" style="62" bestFit="1" customWidth="1"/>
    <col min="8474" max="8474" width="13.44140625" style="62" bestFit="1" customWidth="1"/>
    <col min="8475" max="8475" width="7.109375" style="62" bestFit="1" customWidth="1"/>
    <col min="8476" max="8476" width="12" style="62" bestFit="1" customWidth="1"/>
    <col min="8477" max="8477" width="15.88671875" style="62" bestFit="1" customWidth="1"/>
    <col min="8478" max="8478" width="17.33203125" style="62" bestFit="1" customWidth="1"/>
    <col min="8479" max="8479" width="5.88671875" style="62" bestFit="1" customWidth="1"/>
    <col min="8480" max="8480" width="21.109375" style="62" bestFit="1" customWidth="1"/>
    <col min="8481" max="8481" width="17" style="62" bestFit="1" customWidth="1"/>
    <col min="8482" max="8482" width="24.5546875" style="62" bestFit="1" customWidth="1"/>
    <col min="8483" max="8483" width="11.44140625" style="62" bestFit="1" customWidth="1"/>
    <col min="8484" max="8497" width="0" style="62" hidden="1"/>
    <col min="8498" max="8710" width="9.109375" style="62" customWidth="1"/>
    <col min="8711" max="8711" width="0" style="62" hidden="1"/>
    <col min="8712" max="8712" width="4.109375" style="62" customWidth="1"/>
    <col min="8713" max="8713" width="19.109375" style="62" customWidth="1"/>
    <col min="8714" max="8714" width="19.109375" style="62" bestFit="1" customWidth="1"/>
    <col min="8715" max="8716" width="15.44140625" style="62" bestFit="1" customWidth="1"/>
    <col min="8717" max="8718" width="13.109375" style="62" bestFit="1" customWidth="1"/>
    <col min="8719" max="8719" width="20" style="62" bestFit="1" customWidth="1"/>
    <col min="8720" max="8720" width="12.44140625" style="62" bestFit="1" customWidth="1"/>
    <col min="8721" max="8721" width="17.33203125" style="62" bestFit="1" customWidth="1"/>
    <col min="8722" max="8722" width="15.44140625" style="62" bestFit="1" customWidth="1"/>
    <col min="8723" max="8723" width="13.109375" style="62" bestFit="1" customWidth="1"/>
    <col min="8724" max="8724" width="12.88671875" style="62" bestFit="1" customWidth="1"/>
    <col min="8725" max="8725" width="21.5546875" style="62" bestFit="1" customWidth="1"/>
    <col min="8726" max="8726" width="17" style="62" bestFit="1" customWidth="1"/>
    <col min="8727" max="8727" width="17.33203125" style="62" bestFit="1" customWidth="1"/>
    <col min="8728" max="8728" width="12.88671875" style="62" bestFit="1" customWidth="1"/>
    <col min="8729" max="8729" width="7.109375" style="62" bestFit="1" customWidth="1"/>
    <col min="8730" max="8730" width="13.44140625" style="62" bestFit="1" customWidth="1"/>
    <col min="8731" max="8731" width="7.109375" style="62" bestFit="1" customWidth="1"/>
    <col min="8732" max="8732" width="12" style="62" bestFit="1" customWidth="1"/>
    <col min="8733" max="8733" width="15.88671875" style="62" bestFit="1" customWidth="1"/>
    <col min="8734" max="8734" width="17.33203125" style="62" bestFit="1" customWidth="1"/>
    <col min="8735" max="8735" width="5.88671875" style="62" bestFit="1" customWidth="1"/>
    <col min="8736" max="8736" width="21.109375" style="62" bestFit="1" customWidth="1"/>
    <col min="8737" max="8737" width="17" style="62" bestFit="1" customWidth="1"/>
    <col min="8738" max="8738" width="24.5546875" style="62" bestFit="1" customWidth="1"/>
    <col min="8739" max="8739" width="11.44140625" style="62" bestFit="1" customWidth="1"/>
    <col min="8740" max="8753" width="0" style="62" hidden="1"/>
    <col min="8754" max="8966" width="9.109375" style="62" customWidth="1"/>
    <col min="8967" max="8967" width="0" style="62" hidden="1"/>
    <col min="8968" max="8968" width="4.109375" style="62" customWidth="1"/>
    <col min="8969" max="8969" width="19.109375" style="62" customWidth="1"/>
    <col min="8970" max="8970" width="19.109375" style="62" bestFit="1" customWidth="1"/>
    <col min="8971" max="8972" width="15.44140625" style="62" bestFit="1" customWidth="1"/>
    <col min="8973" max="8974" width="13.109375" style="62" bestFit="1" customWidth="1"/>
    <col min="8975" max="8975" width="20" style="62" bestFit="1" customWidth="1"/>
    <col min="8976" max="8976" width="12.44140625" style="62" bestFit="1" customWidth="1"/>
    <col min="8977" max="8977" width="17.33203125" style="62" bestFit="1" customWidth="1"/>
    <col min="8978" max="8978" width="15.44140625" style="62" bestFit="1" customWidth="1"/>
    <col min="8979" max="8979" width="13.109375" style="62" bestFit="1" customWidth="1"/>
    <col min="8980" max="8980" width="12.88671875" style="62" bestFit="1" customWidth="1"/>
    <col min="8981" max="8981" width="21.5546875" style="62" bestFit="1" customWidth="1"/>
    <col min="8982" max="8982" width="17" style="62" bestFit="1" customWidth="1"/>
    <col min="8983" max="8983" width="17.33203125" style="62" bestFit="1" customWidth="1"/>
    <col min="8984" max="8984" width="12.88671875" style="62" bestFit="1" customWidth="1"/>
    <col min="8985" max="8985" width="7.109375" style="62" bestFit="1" customWidth="1"/>
    <col min="8986" max="8986" width="13.44140625" style="62" bestFit="1" customWidth="1"/>
    <col min="8987" max="8987" width="7.109375" style="62" bestFit="1" customWidth="1"/>
    <col min="8988" max="8988" width="12" style="62" bestFit="1" customWidth="1"/>
    <col min="8989" max="8989" width="15.88671875" style="62" bestFit="1" customWidth="1"/>
    <col min="8990" max="8990" width="17.33203125" style="62" bestFit="1" customWidth="1"/>
    <col min="8991" max="8991" width="5.88671875" style="62" bestFit="1" customWidth="1"/>
    <col min="8992" max="8992" width="21.109375" style="62" bestFit="1" customWidth="1"/>
    <col min="8993" max="8993" width="17" style="62" bestFit="1" customWidth="1"/>
    <col min="8994" max="8994" width="24.5546875" style="62" bestFit="1" customWidth="1"/>
    <col min="8995" max="8995" width="11.44140625" style="62" bestFit="1" customWidth="1"/>
    <col min="8996" max="9009" width="0" style="62" hidden="1"/>
    <col min="9010" max="9222" width="9.109375" style="62" customWidth="1"/>
    <col min="9223" max="9223" width="0" style="62" hidden="1"/>
    <col min="9224" max="9224" width="4.109375" style="62" customWidth="1"/>
    <col min="9225" max="9225" width="19.109375" style="62" customWidth="1"/>
    <col min="9226" max="9226" width="19.109375" style="62" bestFit="1" customWidth="1"/>
    <col min="9227" max="9228" width="15.44140625" style="62" bestFit="1" customWidth="1"/>
    <col min="9229" max="9230" width="13.109375" style="62" bestFit="1" customWidth="1"/>
    <col min="9231" max="9231" width="20" style="62" bestFit="1" customWidth="1"/>
    <col min="9232" max="9232" width="12.44140625" style="62" bestFit="1" customWidth="1"/>
    <col min="9233" max="9233" width="17.33203125" style="62" bestFit="1" customWidth="1"/>
    <col min="9234" max="9234" width="15.44140625" style="62" bestFit="1" customWidth="1"/>
    <col min="9235" max="9235" width="13.109375" style="62" bestFit="1" customWidth="1"/>
    <col min="9236" max="9236" width="12.88671875" style="62" bestFit="1" customWidth="1"/>
    <col min="9237" max="9237" width="21.5546875" style="62" bestFit="1" customWidth="1"/>
    <col min="9238" max="9238" width="17" style="62" bestFit="1" customWidth="1"/>
    <col min="9239" max="9239" width="17.33203125" style="62" bestFit="1" customWidth="1"/>
    <col min="9240" max="9240" width="12.88671875" style="62" bestFit="1" customWidth="1"/>
    <col min="9241" max="9241" width="7.109375" style="62" bestFit="1" customWidth="1"/>
    <col min="9242" max="9242" width="13.44140625" style="62" bestFit="1" customWidth="1"/>
    <col min="9243" max="9243" width="7.109375" style="62" bestFit="1" customWidth="1"/>
    <col min="9244" max="9244" width="12" style="62" bestFit="1" customWidth="1"/>
    <col min="9245" max="9245" width="15.88671875" style="62" bestFit="1" customWidth="1"/>
    <col min="9246" max="9246" width="17.33203125" style="62" bestFit="1" customWidth="1"/>
    <col min="9247" max="9247" width="5.88671875" style="62" bestFit="1" customWidth="1"/>
    <col min="9248" max="9248" width="21.109375" style="62" bestFit="1" customWidth="1"/>
    <col min="9249" max="9249" width="17" style="62" bestFit="1" customWidth="1"/>
    <col min="9250" max="9250" width="24.5546875" style="62" bestFit="1" customWidth="1"/>
    <col min="9251" max="9251" width="11.44140625" style="62" bestFit="1" customWidth="1"/>
    <col min="9252" max="9265" width="0" style="62" hidden="1"/>
    <col min="9266" max="9478" width="9.109375" style="62" customWidth="1"/>
    <col min="9479" max="9479" width="0" style="62" hidden="1"/>
    <col min="9480" max="9480" width="4.109375" style="62" customWidth="1"/>
    <col min="9481" max="9481" width="19.109375" style="62" customWidth="1"/>
    <col min="9482" max="9482" width="19.109375" style="62" bestFit="1" customWidth="1"/>
    <col min="9483" max="9484" width="15.44140625" style="62" bestFit="1" customWidth="1"/>
    <col min="9485" max="9486" width="13.109375" style="62" bestFit="1" customWidth="1"/>
    <col min="9487" max="9487" width="20" style="62" bestFit="1" customWidth="1"/>
    <col min="9488" max="9488" width="12.44140625" style="62" bestFit="1" customWidth="1"/>
    <col min="9489" max="9489" width="17.33203125" style="62" bestFit="1" customWidth="1"/>
    <col min="9490" max="9490" width="15.44140625" style="62" bestFit="1" customWidth="1"/>
    <col min="9491" max="9491" width="13.109375" style="62" bestFit="1" customWidth="1"/>
    <col min="9492" max="9492" width="12.88671875" style="62" bestFit="1" customWidth="1"/>
    <col min="9493" max="9493" width="21.5546875" style="62" bestFit="1" customWidth="1"/>
    <col min="9494" max="9494" width="17" style="62" bestFit="1" customWidth="1"/>
    <col min="9495" max="9495" width="17.33203125" style="62" bestFit="1" customWidth="1"/>
    <col min="9496" max="9496" width="12.88671875" style="62" bestFit="1" customWidth="1"/>
    <col min="9497" max="9497" width="7.109375" style="62" bestFit="1" customWidth="1"/>
    <col min="9498" max="9498" width="13.44140625" style="62" bestFit="1" customWidth="1"/>
    <col min="9499" max="9499" width="7.109375" style="62" bestFit="1" customWidth="1"/>
    <col min="9500" max="9500" width="12" style="62" bestFit="1" customWidth="1"/>
    <col min="9501" max="9501" width="15.88671875" style="62" bestFit="1" customWidth="1"/>
    <col min="9502" max="9502" width="17.33203125" style="62" bestFit="1" customWidth="1"/>
    <col min="9503" max="9503" width="5.88671875" style="62" bestFit="1" customWidth="1"/>
    <col min="9504" max="9504" width="21.109375" style="62" bestFit="1" customWidth="1"/>
    <col min="9505" max="9505" width="17" style="62" bestFit="1" customWidth="1"/>
    <col min="9506" max="9506" width="24.5546875" style="62" bestFit="1" customWidth="1"/>
    <col min="9507" max="9507" width="11.44140625" style="62" bestFit="1" customWidth="1"/>
    <col min="9508" max="9521" width="0" style="62" hidden="1"/>
    <col min="9522" max="9734" width="9.109375" style="62" customWidth="1"/>
    <col min="9735" max="9735" width="0" style="62" hidden="1"/>
    <col min="9736" max="9736" width="4.109375" style="62" customWidth="1"/>
    <col min="9737" max="9737" width="19.109375" style="62" customWidth="1"/>
    <col min="9738" max="9738" width="19.109375" style="62" bestFit="1" customWidth="1"/>
    <col min="9739" max="9740" width="15.44140625" style="62" bestFit="1" customWidth="1"/>
    <col min="9741" max="9742" width="13.109375" style="62" bestFit="1" customWidth="1"/>
    <col min="9743" max="9743" width="20" style="62" bestFit="1" customWidth="1"/>
    <col min="9744" max="9744" width="12.44140625" style="62" bestFit="1" customWidth="1"/>
    <col min="9745" max="9745" width="17.33203125" style="62" bestFit="1" customWidth="1"/>
    <col min="9746" max="9746" width="15.44140625" style="62" bestFit="1" customWidth="1"/>
    <col min="9747" max="9747" width="13.109375" style="62" bestFit="1" customWidth="1"/>
    <col min="9748" max="9748" width="12.88671875" style="62" bestFit="1" customWidth="1"/>
    <col min="9749" max="9749" width="21.5546875" style="62" bestFit="1" customWidth="1"/>
    <col min="9750" max="9750" width="17" style="62" bestFit="1" customWidth="1"/>
    <col min="9751" max="9751" width="17.33203125" style="62" bestFit="1" customWidth="1"/>
    <col min="9752" max="9752" width="12.88671875" style="62" bestFit="1" customWidth="1"/>
    <col min="9753" max="9753" width="7.109375" style="62" bestFit="1" customWidth="1"/>
    <col min="9754" max="9754" width="13.44140625" style="62" bestFit="1" customWidth="1"/>
    <col min="9755" max="9755" width="7.109375" style="62" bestFit="1" customWidth="1"/>
    <col min="9756" max="9756" width="12" style="62" bestFit="1" customWidth="1"/>
    <col min="9757" max="9757" width="15.88671875" style="62" bestFit="1" customWidth="1"/>
    <col min="9758" max="9758" width="17.33203125" style="62" bestFit="1" customWidth="1"/>
    <col min="9759" max="9759" width="5.88671875" style="62" bestFit="1" customWidth="1"/>
    <col min="9760" max="9760" width="21.109375" style="62" bestFit="1" customWidth="1"/>
    <col min="9761" max="9761" width="17" style="62" bestFit="1" customWidth="1"/>
    <col min="9762" max="9762" width="24.5546875" style="62" bestFit="1" customWidth="1"/>
    <col min="9763" max="9763" width="11.44140625" style="62" bestFit="1" customWidth="1"/>
    <col min="9764" max="9777" width="0" style="62" hidden="1"/>
    <col min="9778" max="9990" width="9.109375" style="62" customWidth="1"/>
    <col min="9991" max="9991" width="0" style="62" hidden="1"/>
    <col min="9992" max="9992" width="4.109375" style="62" customWidth="1"/>
    <col min="9993" max="9993" width="19.109375" style="62" customWidth="1"/>
    <col min="9994" max="9994" width="19.109375" style="62" bestFit="1" customWidth="1"/>
    <col min="9995" max="9996" width="15.44140625" style="62" bestFit="1" customWidth="1"/>
    <col min="9997" max="9998" width="13.109375" style="62" bestFit="1" customWidth="1"/>
    <col min="9999" max="9999" width="20" style="62" bestFit="1" customWidth="1"/>
    <col min="10000" max="10000" width="12.44140625" style="62" bestFit="1" customWidth="1"/>
    <col min="10001" max="10001" width="17.33203125" style="62" bestFit="1" customWidth="1"/>
    <col min="10002" max="10002" width="15.44140625" style="62" bestFit="1" customWidth="1"/>
    <col min="10003" max="10003" width="13.109375" style="62" bestFit="1" customWidth="1"/>
    <col min="10004" max="10004" width="12.88671875" style="62" bestFit="1" customWidth="1"/>
    <col min="10005" max="10005" width="21.5546875" style="62" bestFit="1" customWidth="1"/>
    <col min="10006" max="10006" width="17" style="62" bestFit="1" customWidth="1"/>
    <col min="10007" max="10007" width="17.33203125" style="62" bestFit="1" customWidth="1"/>
    <col min="10008" max="10008" width="12.88671875" style="62" bestFit="1" customWidth="1"/>
    <col min="10009" max="10009" width="7.109375" style="62" bestFit="1" customWidth="1"/>
    <col min="10010" max="10010" width="13.44140625" style="62" bestFit="1" customWidth="1"/>
    <col min="10011" max="10011" width="7.109375" style="62" bestFit="1" customWidth="1"/>
    <col min="10012" max="10012" width="12" style="62" bestFit="1" customWidth="1"/>
    <col min="10013" max="10013" width="15.88671875" style="62" bestFit="1" customWidth="1"/>
    <col min="10014" max="10014" width="17.33203125" style="62" bestFit="1" customWidth="1"/>
    <col min="10015" max="10015" width="5.88671875" style="62" bestFit="1" customWidth="1"/>
    <col min="10016" max="10016" width="21.109375" style="62" bestFit="1" customWidth="1"/>
    <col min="10017" max="10017" width="17" style="62" bestFit="1" customWidth="1"/>
    <col min="10018" max="10018" width="24.5546875" style="62" bestFit="1" customWidth="1"/>
    <col min="10019" max="10019" width="11.44140625" style="62" bestFit="1" customWidth="1"/>
    <col min="10020" max="10033" width="0" style="62" hidden="1"/>
    <col min="10034" max="10246" width="9.109375" style="62" customWidth="1"/>
    <col min="10247" max="10247" width="0" style="62" hidden="1"/>
    <col min="10248" max="10248" width="4.109375" style="62" customWidth="1"/>
    <col min="10249" max="10249" width="19.109375" style="62" customWidth="1"/>
    <col min="10250" max="10250" width="19.109375" style="62" bestFit="1" customWidth="1"/>
    <col min="10251" max="10252" width="15.44140625" style="62" bestFit="1" customWidth="1"/>
    <col min="10253" max="10254" width="13.109375" style="62" bestFit="1" customWidth="1"/>
    <col min="10255" max="10255" width="20" style="62" bestFit="1" customWidth="1"/>
    <col min="10256" max="10256" width="12.44140625" style="62" bestFit="1" customWidth="1"/>
    <col min="10257" max="10257" width="17.33203125" style="62" bestFit="1" customWidth="1"/>
    <col min="10258" max="10258" width="15.44140625" style="62" bestFit="1" customWidth="1"/>
    <col min="10259" max="10259" width="13.109375" style="62" bestFit="1" customWidth="1"/>
    <col min="10260" max="10260" width="12.88671875" style="62" bestFit="1" customWidth="1"/>
    <col min="10261" max="10261" width="21.5546875" style="62" bestFit="1" customWidth="1"/>
    <col min="10262" max="10262" width="17" style="62" bestFit="1" customWidth="1"/>
    <col min="10263" max="10263" width="17.33203125" style="62" bestFit="1" customWidth="1"/>
    <col min="10264" max="10264" width="12.88671875" style="62" bestFit="1" customWidth="1"/>
    <col min="10265" max="10265" width="7.109375" style="62" bestFit="1" customWidth="1"/>
    <col min="10266" max="10266" width="13.44140625" style="62" bestFit="1" customWidth="1"/>
    <col min="10267" max="10267" width="7.109375" style="62" bestFit="1" customWidth="1"/>
    <col min="10268" max="10268" width="12" style="62" bestFit="1" customWidth="1"/>
    <col min="10269" max="10269" width="15.88671875" style="62" bestFit="1" customWidth="1"/>
    <col min="10270" max="10270" width="17.33203125" style="62" bestFit="1" customWidth="1"/>
    <col min="10271" max="10271" width="5.88671875" style="62" bestFit="1" customWidth="1"/>
    <col min="10272" max="10272" width="21.109375" style="62" bestFit="1" customWidth="1"/>
    <col min="10273" max="10273" width="17" style="62" bestFit="1" customWidth="1"/>
    <col min="10274" max="10274" width="24.5546875" style="62" bestFit="1" customWidth="1"/>
    <col min="10275" max="10275" width="11.44140625" style="62" bestFit="1" customWidth="1"/>
    <col min="10276" max="10289" width="0" style="62" hidden="1"/>
    <col min="10290" max="10502" width="9.109375" style="62" customWidth="1"/>
    <col min="10503" max="10503" width="0" style="62" hidden="1"/>
    <col min="10504" max="10504" width="4.109375" style="62" customWidth="1"/>
    <col min="10505" max="10505" width="19.109375" style="62" customWidth="1"/>
    <col min="10506" max="10506" width="19.109375" style="62" bestFit="1" customWidth="1"/>
    <col min="10507" max="10508" width="15.44140625" style="62" bestFit="1" customWidth="1"/>
    <col min="10509" max="10510" width="13.109375" style="62" bestFit="1" customWidth="1"/>
    <col min="10511" max="10511" width="20" style="62" bestFit="1" customWidth="1"/>
    <col min="10512" max="10512" width="12.44140625" style="62" bestFit="1" customWidth="1"/>
    <col min="10513" max="10513" width="17.33203125" style="62" bestFit="1" customWidth="1"/>
    <col min="10514" max="10514" width="15.44140625" style="62" bestFit="1" customWidth="1"/>
    <col min="10515" max="10515" width="13.109375" style="62" bestFit="1" customWidth="1"/>
    <col min="10516" max="10516" width="12.88671875" style="62" bestFit="1" customWidth="1"/>
    <col min="10517" max="10517" width="21.5546875" style="62" bestFit="1" customWidth="1"/>
    <col min="10518" max="10518" width="17" style="62" bestFit="1" customWidth="1"/>
    <col min="10519" max="10519" width="17.33203125" style="62" bestFit="1" customWidth="1"/>
    <col min="10520" max="10520" width="12.88671875" style="62" bestFit="1" customWidth="1"/>
    <col min="10521" max="10521" width="7.109375" style="62" bestFit="1" customWidth="1"/>
    <col min="10522" max="10522" width="13.44140625" style="62" bestFit="1" customWidth="1"/>
    <col min="10523" max="10523" width="7.109375" style="62" bestFit="1" customWidth="1"/>
    <col min="10524" max="10524" width="12" style="62" bestFit="1" customWidth="1"/>
    <col min="10525" max="10525" width="15.88671875" style="62" bestFit="1" customWidth="1"/>
    <col min="10526" max="10526" width="17.33203125" style="62" bestFit="1" customWidth="1"/>
    <col min="10527" max="10527" width="5.88671875" style="62" bestFit="1" customWidth="1"/>
    <col min="10528" max="10528" width="21.109375" style="62" bestFit="1" customWidth="1"/>
    <col min="10529" max="10529" width="17" style="62" bestFit="1" customWidth="1"/>
    <col min="10530" max="10530" width="24.5546875" style="62" bestFit="1" customWidth="1"/>
    <col min="10531" max="10531" width="11.44140625" style="62" bestFit="1" customWidth="1"/>
    <col min="10532" max="10545" width="0" style="62" hidden="1"/>
    <col min="10546" max="10758" width="9.109375" style="62" customWidth="1"/>
    <col min="10759" max="10759" width="0" style="62" hidden="1"/>
    <col min="10760" max="10760" width="4.109375" style="62" customWidth="1"/>
    <col min="10761" max="10761" width="19.109375" style="62" customWidth="1"/>
    <col min="10762" max="10762" width="19.109375" style="62" bestFit="1" customWidth="1"/>
    <col min="10763" max="10764" width="15.44140625" style="62" bestFit="1" customWidth="1"/>
    <col min="10765" max="10766" width="13.109375" style="62" bestFit="1" customWidth="1"/>
    <col min="10767" max="10767" width="20" style="62" bestFit="1" customWidth="1"/>
    <col min="10768" max="10768" width="12.44140625" style="62" bestFit="1" customWidth="1"/>
    <col min="10769" max="10769" width="17.33203125" style="62" bestFit="1" customWidth="1"/>
    <col min="10770" max="10770" width="15.44140625" style="62" bestFit="1" customWidth="1"/>
    <col min="10771" max="10771" width="13.109375" style="62" bestFit="1" customWidth="1"/>
    <col min="10772" max="10772" width="12.88671875" style="62" bestFit="1" customWidth="1"/>
    <col min="10773" max="10773" width="21.5546875" style="62" bestFit="1" customWidth="1"/>
    <col min="10774" max="10774" width="17" style="62" bestFit="1" customWidth="1"/>
    <col min="10775" max="10775" width="17.33203125" style="62" bestFit="1" customWidth="1"/>
    <col min="10776" max="10776" width="12.88671875" style="62" bestFit="1" customWidth="1"/>
    <col min="10777" max="10777" width="7.109375" style="62" bestFit="1" customWidth="1"/>
    <col min="10778" max="10778" width="13.44140625" style="62" bestFit="1" customWidth="1"/>
    <col min="10779" max="10779" width="7.109375" style="62" bestFit="1" customWidth="1"/>
    <col min="10780" max="10780" width="12" style="62" bestFit="1" customWidth="1"/>
    <col min="10781" max="10781" width="15.88671875" style="62" bestFit="1" customWidth="1"/>
    <col min="10782" max="10782" width="17.33203125" style="62" bestFit="1" customWidth="1"/>
    <col min="10783" max="10783" width="5.88671875" style="62" bestFit="1" customWidth="1"/>
    <col min="10784" max="10784" width="21.109375" style="62" bestFit="1" customWidth="1"/>
    <col min="10785" max="10785" width="17" style="62" bestFit="1" customWidth="1"/>
    <col min="10786" max="10786" width="24.5546875" style="62" bestFit="1" customWidth="1"/>
    <col min="10787" max="10787" width="11.44140625" style="62" bestFit="1" customWidth="1"/>
    <col min="10788" max="10801" width="0" style="62" hidden="1"/>
    <col min="10802" max="11014" width="9.109375" style="62" customWidth="1"/>
    <col min="11015" max="11015" width="0" style="62" hidden="1"/>
    <col min="11016" max="11016" width="4.109375" style="62" customWidth="1"/>
    <col min="11017" max="11017" width="19.109375" style="62" customWidth="1"/>
    <col min="11018" max="11018" width="19.109375" style="62" bestFit="1" customWidth="1"/>
    <col min="11019" max="11020" width="15.44140625" style="62" bestFit="1" customWidth="1"/>
    <col min="11021" max="11022" width="13.109375" style="62" bestFit="1" customWidth="1"/>
    <col min="11023" max="11023" width="20" style="62" bestFit="1" customWidth="1"/>
    <col min="11024" max="11024" width="12.44140625" style="62" bestFit="1" customWidth="1"/>
    <col min="11025" max="11025" width="17.33203125" style="62" bestFit="1" customWidth="1"/>
    <col min="11026" max="11026" width="15.44140625" style="62" bestFit="1" customWidth="1"/>
    <col min="11027" max="11027" width="13.109375" style="62" bestFit="1" customWidth="1"/>
    <col min="11028" max="11028" width="12.88671875" style="62" bestFit="1" customWidth="1"/>
    <col min="11029" max="11029" width="21.5546875" style="62" bestFit="1" customWidth="1"/>
    <col min="11030" max="11030" width="17" style="62" bestFit="1" customWidth="1"/>
    <col min="11031" max="11031" width="17.33203125" style="62" bestFit="1" customWidth="1"/>
    <col min="11032" max="11032" width="12.88671875" style="62" bestFit="1" customWidth="1"/>
    <col min="11033" max="11033" width="7.109375" style="62" bestFit="1" customWidth="1"/>
    <col min="11034" max="11034" width="13.44140625" style="62" bestFit="1" customWidth="1"/>
    <col min="11035" max="11035" width="7.109375" style="62" bestFit="1" customWidth="1"/>
    <col min="11036" max="11036" width="12" style="62" bestFit="1" customWidth="1"/>
    <col min="11037" max="11037" width="15.88671875" style="62" bestFit="1" customWidth="1"/>
    <col min="11038" max="11038" width="17.33203125" style="62" bestFit="1" customWidth="1"/>
    <col min="11039" max="11039" width="5.88671875" style="62" bestFit="1" customWidth="1"/>
    <col min="11040" max="11040" width="21.109375" style="62" bestFit="1" customWidth="1"/>
    <col min="11041" max="11041" width="17" style="62" bestFit="1" customWidth="1"/>
    <col min="11042" max="11042" width="24.5546875" style="62" bestFit="1" customWidth="1"/>
    <col min="11043" max="11043" width="11.44140625" style="62" bestFit="1" customWidth="1"/>
    <col min="11044" max="11057" width="0" style="62" hidden="1"/>
    <col min="11058" max="11270" width="9.109375" style="62" customWidth="1"/>
    <col min="11271" max="11271" width="0" style="62" hidden="1"/>
    <col min="11272" max="11272" width="4.109375" style="62" customWidth="1"/>
    <col min="11273" max="11273" width="19.109375" style="62" customWidth="1"/>
    <col min="11274" max="11274" width="19.109375" style="62" bestFit="1" customWidth="1"/>
    <col min="11275" max="11276" width="15.44140625" style="62" bestFit="1" customWidth="1"/>
    <col min="11277" max="11278" width="13.109375" style="62" bestFit="1" customWidth="1"/>
    <col min="11279" max="11279" width="20" style="62" bestFit="1" customWidth="1"/>
    <col min="11280" max="11280" width="12.44140625" style="62" bestFit="1" customWidth="1"/>
    <col min="11281" max="11281" width="17.33203125" style="62" bestFit="1" customWidth="1"/>
    <col min="11282" max="11282" width="15.44140625" style="62" bestFit="1" customWidth="1"/>
    <col min="11283" max="11283" width="13.109375" style="62" bestFit="1" customWidth="1"/>
    <col min="11284" max="11284" width="12.88671875" style="62" bestFit="1" customWidth="1"/>
    <col min="11285" max="11285" width="21.5546875" style="62" bestFit="1" customWidth="1"/>
    <col min="11286" max="11286" width="17" style="62" bestFit="1" customWidth="1"/>
    <col min="11287" max="11287" width="17.33203125" style="62" bestFit="1" customWidth="1"/>
    <col min="11288" max="11288" width="12.88671875" style="62" bestFit="1" customWidth="1"/>
    <col min="11289" max="11289" width="7.109375" style="62" bestFit="1" customWidth="1"/>
    <col min="11290" max="11290" width="13.44140625" style="62" bestFit="1" customWidth="1"/>
    <col min="11291" max="11291" width="7.109375" style="62" bestFit="1" customWidth="1"/>
    <col min="11292" max="11292" width="12" style="62" bestFit="1" customWidth="1"/>
    <col min="11293" max="11293" width="15.88671875" style="62" bestFit="1" customWidth="1"/>
    <col min="11294" max="11294" width="17.33203125" style="62" bestFit="1" customWidth="1"/>
    <col min="11295" max="11295" width="5.88671875" style="62" bestFit="1" customWidth="1"/>
    <col min="11296" max="11296" width="21.109375" style="62" bestFit="1" customWidth="1"/>
    <col min="11297" max="11297" width="17" style="62" bestFit="1" customWidth="1"/>
    <col min="11298" max="11298" width="24.5546875" style="62" bestFit="1" customWidth="1"/>
    <col min="11299" max="11299" width="11.44140625" style="62" bestFit="1" customWidth="1"/>
    <col min="11300" max="11313" width="0" style="62" hidden="1"/>
    <col min="11314" max="11526" width="9.109375" style="62" customWidth="1"/>
    <col min="11527" max="11527" width="0" style="62" hidden="1"/>
    <col min="11528" max="11528" width="4.109375" style="62" customWidth="1"/>
    <col min="11529" max="11529" width="19.109375" style="62" customWidth="1"/>
    <col min="11530" max="11530" width="19.109375" style="62" bestFit="1" customWidth="1"/>
    <col min="11531" max="11532" width="15.44140625" style="62" bestFit="1" customWidth="1"/>
    <col min="11533" max="11534" width="13.109375" style="62" bestFit="1" customWidth="1"/>
    <col min="11535" max="11535" width="20" style="62" bestFit="1" customWidth="1"/>
    <col min="11536" max="11536" width="12.44140625" style="62" bestFit="1" customWidth="1"/>
    <col min="11537" max="11537" width="17.33203125" style="62" bestFit="1" customWidth="1"/>
    <col min="11538" max="11538" width="15.44140625" style="62" bestFit="1" customWidth="1"/>
    <col min="11539" max="11539" width="13.109375" style="62" bestFit="1" customWidth="1"/>
    <col min="11540" max="11540" width="12.88671875" style="62" bestFit="1" customWidth="1"/>
    <col min="11541" max="11541" width="21.5546875" style="62" bestFit="1" customWidth="1"/>
    <col min="11542" max="11542" width="17" style="62" bestFit="1" customWidth="1"/>
    <col min="11543" max="11543" width="17.33203125" style="62" bestFit="1" customWidth="1"/>
    <col min="11544" max="11544" width="12.88671875" style="62" bestFit="1" customWidth="1"/>
    <col min="11545" max="11545" width="7.109375" style="62" bestFit="1" customWidth="1"/>
    <col min="11546" max="11546" width="13.44140625" style="62" bestFit="1" customWidth="1"/>
    <col min="11547" max="11547" width="7.109375" style="62" bestFit="1" customWidth="1"/>
    <col min="11548" max="11548" width="12" style="62" bestFit="1" customWidth="1"/>
    <col min="11549" max="11549" width="15.88671875" style="62" bestFit="1" customWidth="1"/>
    <col min="11550" max="11550" width="17.33203125" style="62" bestFit="1" customWidth="1"/>
    <col min="11551" max="11551" width="5.88671875" style="62" bestFit="1" customWidth="1"/>
    <col min="11552" max="11552" width="21.109375" style="62" bestFit="1" customWidth="1"/>
    <col min="11553" max="11553" width="17" style="62" bestFit="1" customWidth="1"/>
    <col min="11554" max="11554" width="24.5546875" style="62" bestFit="1" customWidth="1"/>
    <col min="11555" max="11555" width="11.44140625" style="62" bestFit="1" customWidth="1"/>
    <col min="11556" max="11569" width="0" style="62" hidden="1"/>
    <col min="11570" max="11782" width="9.109375" style="62" customWidth="1"/>
    <col min="11783" max="11783" width="0" style="62" hidden="1"/>
    <col min="11784" max="11784" width="4.109375" style="62" customWidth="1"/>
    <col min="11785" max="11785" width="19.109375" style="62" customWidth="1"/>
    <col min="11786" max="11786" width="19.109375" style="62" bestFit="1" customWidth="1"/>
    <col min="11787" max="11788" width="15.44140625" style="62" bestFit="1" customWidth="1"/>
    <col min="11789" max="11790" width="13.109375" style="62" bestFit="1" customWidth="1"/>
    <col min="11791" max="11791" width="20" style="62" bestFit="1" customWidth="1"/>
    <col min="11792" max="11792" width="12.44140625" style="62" bestFit="1" customWidth="1"/>
    <col min="11793" max="11793" width="17.33203125" style="62" bestFit="1" customWidth="1"/>
    <col min="11794" max="11794" width="15.44140625" style="62" bestFit="1" customWidth="1"/>
    <col min="11795" max="11795" width="13.109375" style="62" bestFit="1" customWidth="1"/>
    <col min="11796" max="11796" width="12.88671875" style="62" bestFit="1" customWidth="1"/>
    <col min="11797" max="11797" width="21.5546875" style="62" bestFit="1" customWidth="1"/>
    <col min="11798" max="11798" width="17" style="62" bestFit="1" customWidth="1"/>
    <col min="11799" max="11799" width="17.33203125" style="62" bestFit="1" customWidth="1"/>
    <col min="11800" max="11800" width="12.88671875" style="62" bestFit="1" customWidth="1"/>
    <col min="11801" max="11801" width="7.109375" style="62" bestFit="1" customWidth="1"/>
    <col min="11802" max="11802" width="13.44140625" style="62" bestFit="1" customWidth="1"/>
    <col min="11803" max="11803" width="7.109375" style="62" bestFit="1" customWidth="1"/>
    <col min="11804" max="11804" width="12" style="62" bestFit="1" customWidth="1"/>
    <col min="11805" max="11805" width="15.88671875" style="62" bestFit="1" customWidth="1"/>
    <col min="11806" max="11806" width="17.33203125" style="62" bestFit="1" customWidth="1"/>
    <col min="11807" max="11807" width="5.88671875" style="62" bestFit="1" customWidth="1"/>
    <col min="11808" max="11808" width="21.109375" style="62" bestFit="1" customWidth="1"/>
    <col min="11809" max="11809" width="17" style="62" bestFit="1" customWidth="1"/>
    <col min="11810" max="11810" width="24.5546875" style="62" bestFit="1" customWidth="1"/>
    <col min="11811" max="11811" width="11.44140625" style="62" bestFit="1" customWidth="1"/>
    <col min="11812" max="11825" width="0" style="62" hidden="1"/>
    <col min="11826" max="12038" width="9.109375" style="62" customWidth="1"/>
    <col min="12039" max="12039" width="0" style="62" hidden="1"/>
    <col min="12040" max="12040" width="4.109375" style="62" customWidth="1"/>
    <col min="12041" max="12041" width="19.109375" style="62" customWidth="1"/>
    <col min="12042" max="12042" width="19.109375" style="62" bestFit="1" customWidth="1"/>
    <col min="12043" max="12044" width="15.44140625" style="62" bestFit="1" customWidth="1"/>
    <col min="12045" max="12046" width="13.109375" style="62" bestFit="1" customWidth="1"/>
    <col min="12047" max="12047" width="20" style="62" bestFit="1" customWidth="1"/>
    <col min="12048" max="12048" width="12.44140625" style="62" bestFit="1" customWidth="1"/>
    <col min="12049" max="12049" width="17.33203125" style="62" bestFit="1" customWidth="1"/>
    <col min="12050" max="12050" width="15.44140625" style="62" bestFit="1" customWidth="1"/>
    <col min="12051" max="12051" width="13.109375" style="62" bestFit="1" customWidth="1"/>
    <col min="12052" max="12052" width="12.88671875" style="62" bestFit="1" customWidth="1"/>
    <col min="12053" max="12053" width="21.5546875" style="62" bestFit="1" customWidth="1"/>
    <col min="12054" max="12054" width="17" style="62" bestFit="1" customWidth="1"/>
    <col min="12055" max="12055" width="17.33203125" style="62" bestFit="1" customWidth="1"/>
    <col min="12056" max="12056" width="12.88671875" style="62" bestFit="1" customWidth="1"/>
    <col min="12057" max="12057" width="7.109375" style="62" bestFit="1" customWidth="1"/>
    <col min="12058" max="12058" width="13.44140625" style="62" bestFit="1" customWidth="1"/>
    <col min="12059" max="12059" width="7.109375" style="62" bestFit="1" customWidth="1"/>
    <col min="12060" max="12060" width="12" style="62" bestFit="1" customWidth="1"/>
    <col min="12061" max="12061" width="15.88671875" style="62" bestFit="1" customWidth="1"/>
    <col min="12062" max="12062" width="17.33203125" style="62" bestFit="1" customWidth="1"/>
    <col min="12063" max="12063" width="5.88671875" style="62" bestFit="1" customWidth="1"/>
    <col min="12064" max="12064" width="21.109375" style="62" bestFit="1" customWidth="1"/>
    <col min="12065" max="12065" width="17" style="62" bestFit="1" customWidth="1"/>
    <col min="12066" max="12066" width="24.5546875" style="62" bestFit="1" customWidth="1"/>
    <col min="12067" max="12067" width="11.44140625" style="62" bestFit="1" customWidth="1"/>
    <col min="12068" max="12081" width="0" style="62" hidden="1"/>
    <col min="12082" max="12294" width="9.109375" style="62" customWidth="1"/>
    <col min="12295" max="12295" width="0" style="62" hidden="1"/>
    <col min="12296" max="12296" width="4.109375" style="62" customWidth="1"/>
    <col min="12297" max="12297" width="19.109375" style="62" customWidth="1"/>
    <col min="12298" max="12298" width="19.109375" style="62" bestFit="1" customWidth="1"/>
    <col min="12299" max="12300" width="15.44140625" style="62" bestFit="1" customWidth="1"/>
    <col min="12301" max="12302" width="13.109375" style="62" bestFit="1" customWidth="1"/>
    <col min="12303" max="12303" width="20" style="62" bestFit="1" customWidth="1"/>
    <col min="12304" max="12304" width="12.44140625" style="62" bestFit="1" customWidth="1"/>
    <col min="12305" max="12305" width="17.33203125" style="62" bestFit="1" customWidth="1"/>
    <col min="12306" max="12306" width="15.44140625" style="62" bestFit="1" customWidth="1"/>
    <col min="12307" max="12307" width="13.109375" style="62" bestFit="1" customWidth="1"/>
    <col min="12308" max="12308" width="12.88671875" style="62" bestFit="1" customWidth="1"/>
    <col min="12309" max="12309" width="21.5546875" style="62" bestFit="1" customWidth="1"/>
    <col min="12310" max="12310" width="17" style="62" bestFit="1" customWidth="1"/>
    <col min="12311" max="12311" width="17.33203125" style="62" bestFit="1" customWidth="1"/>
    <col min="12312" max="12312" width="12.88671875" style="62" bestFit="1" customWidth="1"/>
    <col min="12313" max="12313" width="7.109375" style="62" bestFit="1" customWidth="1"/>
    <col min="12314" max="12314" width="13.44140625" style="62" bestFit="1" customWidth="1"/>
    <col min="12315" max="12315" width="7.109375" style="62" bestFit="1" customWidth="1"/>
    <col min="12316" max="12316" width="12" style="62" bestFit="1" customWidth="1"/>
    <col min="12317" max="12317" width="15.88671875" style="62" bestFit="1" customWidth="1"/>
    <col min="12318" max="12318" width="17.33203125" style="62" bestFit="1" customWidth="1"/>
    <col min="12319" max="12319" width="5.88671875" style="62" bestFit="1" customWidth="1"/>
    <col min="12320" max="12320" width="21.109375" style="62" bestFit="1" customWidth="1"/>
    <col min="12321" max="12321" width="17" style="62" bestFit="1" customWidth="1"/>
    <col min="12322" max="12322" width="24.5546875" style="62" bestFit="1" customWidth="1"/>
    <col min="12323" max="12323" width="11.44140625" style="62" bestFit="1" customWidth="1"/>
    <col min="12324" max="12337" width="0" style="62" hidden="1"/>
    <col min="12338" max="12550" width="9.109375" style="62" customWidth="1"/>
    <col min="12551" max="12551" width="0" style="62" hidden="1"/>
    <col min="12552" max="12552" width="4.109375" style="62" customWidth="1"/>
    <col min="12553" max="12553" width="19.109375" style="62" customWidth="1"/>
    <col min="12554" max="12554" width="19.109375" style="62" bestFit="1" customWidth="1"/>
    <col min="12555" max="12556" width="15.44140625" style="62" bestFit="1" customWidth="1"/>
    <col min="12557" max="12558" width="13.109375" style="62" bestFit="1" customWidth="1"/>
    <col min="12559" max="12559" width="20" style="62" bestFit="1" customWidth="1"/>
    <col min="12560" max="12560" width="12.44140625" style="62" bestFit="1" customWidth="1"/>
    <col min="12561" max="12561" width="17.33203125" style="62" bestFit="1" customWidth="1"/>
    <col min="12562" max="12562" width="15.44140625" style="62" bestFit="1" customWidth="1"/>
    <col min="12563" max="12563" width="13.109375" style="62" bestFit="1" customWidth="1"/>
    <col min="12564" max="12564" width="12.88671875" style="62" bestFit="1" customWidth="1"/>
    <col min="12565" max="12565" width="21.5546875" style="62" bestFit="1" customWidth="1"/>
    <col min="12566" max="12566" width="17" style="62" bestFit="1" customWidth="1"/>
    <col min="12567" max="12567" width="17.33203125" style="62" bestFit="1" customWidth="1"/>
    <col min="12568" max="12568" width="12.88671875" style="62" bestFit="1" customWidth="1"/>
    <col min="12569" max="12569" width="7.109375" style="62" bestFit="1" customWidth="1"/>
    <col min="12570" max="12570" width="13.44140625" style="62" bestFit="1" customWidth="1"/>
    <col min="12571" max="12571" width="7.109375" style="62" bestFit="1" customWidth="1"/>
    <col min="12572" max="12572" width="12" style="62" bestFit="1" customWidth="1"/>
    <col min="12573" max="12573" width="15.88671875" style="62" bestFit="1" customWidth="1"/>
    <col min="12574" max="12574" width="17.33203125" style="62" bestFit="1" customWidth="1"/>
    <col min="12575" max="12575" width="5.88671875" style="62" bestFit="1" customWidth="1"/>
    <col min="12576" max="12576" width="21.109375" style="62" bestFit="1" customWidth="1"/>
    <col min="12577" max="12577" width="17" style="62" bestFit="1" customWidth="1"/>
    <col min="12578" max="12578" width="24.5546875" style="62" bestFit="1" customWidth="1"/>
    <col min="12579" max="12579" width="11.44140625" style="62" bestFit="1" customWidth="1"/>
    <col min="12580" max="12593" width="0" style="62" hidden="1"/>
    <col min="12594" max="12806" width="9.109375" style="62" customWidth="1"/>
    <col min="12807" max="12807" width="0" style="62" hidden="1"/>
    <col min="12808" max="12808" width="4.109375" style="62" customWidth="1"/>
    <col min="12809" max="12809" width="19.109375" style="62" customWidth="1"/>
    <col min="12810" max="12810" width="19.109375" style="62" bestFit="1" customWidth="1"/>
    <col min="12811" max="12812" width="15.44140625" style="62" bestFit="1" customWidth="1"/>
    <col min="12813" max="12814" width="13.109375" style="62" bestFit="1" customWidth="1"/>
    <col min="12815" max="12815" width="20" style="62" bestFit="1" customWidth="1"/>
    <col min="12816" max="12816" width="12.44140625" style="62" bestFit="1" customWidth="1"/>
    <col min="12817" max="12817" width="17.33203125" style="62" bestFit="1" customWidth="1"/>
    <col min="12818" max="12818" width="15.44140625" style="62" bestFit="1" customWidth="1"/>
    <col min="12819" max="12819" width="13.109375" style="62" bestFit="1" customWidth="1"/>
    <col min="12820" max="12820" width="12.88671875" style="62" bestFit="1" customWidth="1"/>
    <col min="12821" max="12821" width="21.5546875" style="62" bestFit="1" customWidth="1"/>
    <col min="12822" max="12822" width="17" style="62" bestFit="1" customWidth="1"/>
    <col min="12823" max="12823" width="17.33203125" style="62" bestFit="1" customWidth="1"/>
    <col min="12824" max="12824" width="12.88671875" style="62" bestFit="1" customWidth="1"/>
    <col min="12825" max="12825" width="7.109375" style="62" bestFit="1" customWidth="1"/>
    <col min="12826" max="12826" width="13.44140625" style="62" bestFit="1" customWidth="1"/>
    <col min="12827" max="12827" width="7.109375" style="62" bestFit="1" customWidth="1"/>
    <col min="12828" max="12828" width="12" style="62" bestFit="1" customWidth="1"/>
    <col min="12829" max="12829" width="15.88671875" style="62" bestFit="1" customWidth="1"/>
    <col min="12830" max="12830" width="17.33203125" style="62" bestFit="1" customWidth="1"/>
    <col min="12831" max="12831" width="5.88671875" style="62" bestFit="1" customWidth="1"/>
    <col min="12832" max="12832" width="21.109375" style="62" bestFit="1" customWidth="1"/>
    <col min="12833" max="12833" width="17" style="62" bestFit="1" customWidth="1"/>
    <col min="12834" max="12834" width="24.5546875" style="62" bestFit="1" customWidth="1"/>
    <col min="12835" max="12835" width="11.44140625" style="62" bestFit="1" customWidth="1"/>
    <col min="12836" max="12849" width="0" style="62" hidden="1"/>
    <col min="12850" max="13062" width="9.109375" style="62" customWidth="1"/>
    <col min="13063" max="13063" width="0" style="62" hidden="1"/>
    <col min="13064" max="13064" width="4.109375" style="62" customWidth="1"/>
    <col min="13065" max="13065" width="19.109375" style="62" customWidth="1"/>
    <col min="13066" max="13066" width="19.109375" style="62" bestFit="1" customWidth="1"/>
    <col min="13067" max="13068" width="15.44140625" style="62" bestFit="1" customWidth="1"/>
    <col min="13069" max="13070" width="13.109375" style="62" bestFit="1" customWidth="1"/>
    <col min="13071" max="13071" width="20" style="62" bestFit="1" customWidth="1"/>
    <col min="13072" max="13072" width="12.44140625" style="62" bestFit="1" customWidth="1"/>
    <col min="13073" max="13073" width="17.33203125" style="62" bestFit="1" customWidth="1"/>
    <col min="13074" max="13074" width="15.44140625" style="62" bestFit="1" customWidth="1"/>
    <col min="13075" max="13075" width="13.109375" style="62" bestFit="1" customWidth="1"/>
    <col min="13076" max="13076" width="12.88671875" style="62" bestFit="1" customWidth="1"/>
    <col min="13077" max="13077" width="21.5546875" style="62" bestFit="1" customWidth="1"/>
    <col min="13078" max="13078" width="17" style="62" bestFit="1" customWidth="1"/>
    <col min="13079" max="13079" width="17.33203125" style="62" bestFit="1" customWidth="1"/>
    <col min="13080" max="13080" width="12.88671875" style="62" bestFit="1" customWidth="1"/>
    <col min="13081" max="13081" width="7.109375" style="62" bestFit="1" customWidth="1"/>
    <col min="13082" max="13082" width="13.44140625" style="62" bestFit="1" customWidth="1"/>
    <col min="13083" max="13083" width="7.109375" style="62" bestFit="1" customWidth="1"/>
    <col min="13084" max="13084" width="12" style="62" bestFit="1" customWidth="1"/>
    <col min="13085" max="13085" width="15.88671875" style="62" bestFit="1" customWidth="1"/>
    <col min="13086" max="13086" width="17.33203125" style="62" bestFit="1" customWidth="1"/>
    <col min="13087" max="13087" width="5.88671875" style="62" bestFit="1" customWidth="1"/>
    <col min="13088" max="13088" width="21.109375" style="62" bestFit="1" customWidth="1"/>
    <col min="13089" max="13089" width="17" style="62" bestFit="1" customWidth="1"/>
    <col min="13090" max="13090" width="24.5546875" style="62" bestFit="1" customWidth="1"/>
    <col min="13091" max="13091" width="11.44140625" style="62" bestFit="1" customWidth="1"/>
    <col min="13092" max="13105" width="0" style="62" hidden="1"/>
    <col min="13106" max="13318" width="9.109375" style="62" customWidth="1"/>
    <col min="13319" max="13319" width="0" style="62" hidden="1"/>
    <col min="13320" max="13320" width="4.109375" style="62" customWidth="1"/>
    <col min="13321" max="13321" width="19.109375" style="62" customWidth="1"/>
    <col min="13322" max="13322" width="19.109375" style="62" bestFit="1" customWidth="1"/>
    <col min="13323" max="13324" width="15.44140625" style="62" bestFit="1" customWidth="1"/>
    <col min="13325" max="13326" width="13.109375" style="62" bestFit="1" customWidth="1"/>
    <col min="13327" max="13327" width="20" style="62" bestFit="1" customWidth="1"/>
    <col min="13328" max="13328" width="12.44140625" style="62" bestFit="1" customWidth="1"/>
    <col min="13329" max="13329" width="17.33203125" style="62" bestFit="1" customWidth="1"/>
    <col min="13330" max="13330" width="15.44140625" style="62" bestFit="1" customWidth="1"/>
    <col min="13331" max="13331" width="13.109375" style="62" bestFit="1" customWidth="1"/>
    <col min="13332" max="13332" width="12.88671875" style="62" bestFit="1" customWidth="1"/>
    <col min="13333" max="13333" width="21.5546875" style="62" bestFit="1" customWidth="1"/>
    <col min="13334" max="13334" width="17" style="62" bestFit="1" customWidth="1"/>
    <col min="13335" max="13335" width="17.33203125" style="62" bestFit="1" customWidth="1"/>
    <col min="13336" max="13336" width="12.88671875" style="62" bestFit="1" customWidth="1"/>
    <col min="13337" max="13337" width="7.109375" style="62" bestFit="1" customWidth="1"/>
    <col min="13338" max="13338" width="13.44140625" style="62" bestFit="1" customWidth="1"/>
    <col min="13339" max="13339" width="7.109375" style="62" bestFit="1" customWidth="1"/>
    <col min="13340" max="13340" width="12" style="62" bestFit="1" customWidth="1"/>
    <col min="13341" max="13341" width="15.88671875" style="62" bestFit="1" customWidth="1"/>
    <col min="13342" max="13342" width="17.33203125" style="62" bestFit="1" customWidth="1"/>
    <col min="13343" max="13343" width="5.88671875" style="62" bestFit="1" customWidth="1"/>
    <col min="13344" max="13344" width="21.109375" style="62" bestFit="1" customWidth="1"/>
    <col min="13345" max="13345" width="17" style="62" bestFit="1" customWidth="1"/>
    <col min="13346" max="13346" width="24.5546875" style="62" bestFit="1" customWidth="1"/>
    <col min="13347" max="13347" width="11.44140625" style="62" bestFit="1" customWidth="1"/>
    <col min="13348" max="13361" width="0" style="62" hidden="1"/>
    <col min="13362" max="13574" width="9.109375" style="62" customWidth="1"/>
    <col min="13575" max="13575" width="0" style="62" hidden="1"/>
    <col min="13576" max="13576" width="4.109375" style="62" customWidth="1"/>
    <col min="13577" max="13577" width="19.109375" style="62" customWidth="1"/>
    <col min="13578" max="13578" width="19.109375" style="62" bestFit="1" customWidth="1"/>
    <col min="13579" max="13580" width="15.44140625" style="62" bestFit="1" customWidth="1"/>
    <col min="13581" max="13582" width="13.109375" style="62" bestFit="1" customWidth="1"/>
    <col min="13583" max="13583" width="20" style="62" bestFit="1" customWidth="1"/>
    <col min="13584" max="13584" width="12.44140625" style="62" bestFit="1" customWidth="1"/>
    <col min="13585" max="13585" width="17.33203125" style="62" bestFit="1" customWidth="1"/>
    <col min="13586" max="13586" width="15.44140625" style="62" bestFit="1" customWidth="1"/>
    <col min="13587" max="13587" width="13.109375" style="62" bestFit="1" customWidth="1"/>
    <col min="13588" max="13588" width="12.88671875" style="62" bestFit="1" customWidth="1"/>
    <col min="13589" max="13589" width="21.5546875" style="62" bestFit="1" customWidth="1"/>
    <col min="13590" max="13590" width="17" style="62" bestFit="1" customWidth="1"/>
    <col min="13591" max="13591" width="17.33203125" style="62" bestFit="1" customWidth="1"/>
    <col min="13592" max="13592" width="12.88671875" style="62" bestFit="1" customWidth="1"/>
    <col min="13593" max="13593" width="7.109375" style="62" bestFit="1" customWidth="1"/>
    <col min="13594" max="13594" width="13.44140625" style="62" bestFit="1" customWidth="1"/>
    <col min="13595" max="13595" width="7.109375" style="62" bestFit="1" customWidth="1"/>
    <col min="13596" max="13596" width="12" style="62" bestFit="1" customWidth="1"/>
    <col min="13597" max="13597" width="15.88671875" style="62" bestFit="1" customWidth="1"/>
    <col min="13598" max="13598" width="17.33203125" style="62" bestFit="1" customWidth="1"/>
    <col min="13599" max="13599" width="5.88671875" style="62" bestFit="1" customWidth="1"/>
    <col min="13600" max="13600" width="21.109375" style="62" bestFit="1" customWidth="1"/>
    <col min="13601" max="13601" width="17" style="62" bestFit="1" customWidth="1"/>
    <col min="13602" max="13602" width="24.5546875" style="62" bestFit="1" customWidth="1"/>
    <col min="13603" max="13603" width="11.44140625" style="62" bestFit="1" customWidth="1"/>
    <col min="13604" max="13617" width="0" style="62" hidden="1"/>
    <col min="13618" max="13830" width="9.109375" style="62" customWidth="1"/>
    <col min="13831" max="13831" width="0" style="62" hidden="1"/>
    <col min="13832" max="13832" width="4.109375" style="62" customWidth="1"/>
    <col min="13833" max="13833" width="19.109375" style="62" customWidth="1"/>
    <col min="13834" max="13834" width="19.109375" style="62" bestFit="1" customWidth="1"/>
    <col min="13835" max="13836" width="15.44140625" style="62" bestFit="1" customWidth="1"/>
    <col min="13837" max="13838" width="13.109375" style="62" bestFit="1" customWidth="1"/>
    <col min="13839" max="13839" width="20" style="62" bestFit="1" customWidth="1"/>
    <col min="13840" max="13840" width="12.44140625" style="62" bestFit="1" customWidth="1"/>
    <col min="13841" max="13841" width="17.33203125" style="62" bestFit="1" customWidth="1"/>
    <col min="13842" max="13842" width="15.44140625" style="62" bestFit="1" customWidth="1"/>
    <col min="13843" max="13843" width="13.109375" style="62" bestFit="1" customWidth="1"/>
    <col min="13844" max="13844" width="12.88671875" style="62" bestFit="1" customWidth="1"/>
    <col min="13845" max="13845" width="21.5546875" style="62" bestFit="1" customWidth="1"/>
    <col min="13846" max="13846" width="17" style="62" bestFit="1" customWidth="1"/>
    <col min="13847" max="13847" width="17.33203125" style="62" bestFit="1" customWidth="1"/>
    <col min="13848" max="13848" width="12.88671875" style="62" bestFit="1" customWidth="1"/>
    <col min="13849" max="13849" width="7.109375" style="62" bestFit="1" customWidth="1"/>
    <col min="13850" max="13850" width="13.44140625" style="62" bestFit="1" customWidth="1"/>
    <col min="13851" max="13851" width="7.109375" style="62" bestFit="1" customWidth="1"/>
    <col min="13852" max="13852" width="12" style="62" bestFit="1" customWidth="1"/>
    <col min="13853" max="13853" width="15.88671875" style="62" bestFit="1" customWidth="1"/>
    <col min="13854" max="13854" width="17.33203125" style="62" bestFit="1" customWidth="1"/>
    <col min="13855" max="13855" width="5.88671875" style="62" bestFit="1" customWidth="1"/>
    <col min="13856" max="13856" width="21.109375" style="62" bestFit="1" customWidth="1"/>
    <col min="13857" max="13857" width="17" style="62" bestFit="1" customWidth="1"/>
    <col min="13858" max="13858" width="24.5546875" style="62" bestFit="1" customWidth="1"/>
    <col min="13859" max="13859" width="11.44140625" style="62" bestFit="1" customWidth="1"/>
    <col min="13860" max="13873" width="0" style="62" hidden="1"/>
    <col min="13874" max="14086" width="9.109375" style="62" customWidth="1"/>
    <col min="14087" max="14087" width="0" style="62" hidden="1"/>
    <col min="14088" max="14088" width="4.109375" style="62" customWidth="1"/>
    <col min="14089" max="14089" width="19.109375" style="62" customWidth="1"/>
    <col min="14090" max="14090" width="19.109375" style="62" bestFit="1" customWidth="1"/>
    <col min="14091" max="14092" width="15.44140625" style="62" bestFit="1" customWidth="1"/>
    <col min="14093" max="14094" width="13.109375" style="62" bestFit="1" customWidth="1"/>
    <col min="14095" max="14095" width="20" style="62" bestFit="1" customWidth="1"/>
    <col min="14096" max="14096" width="12.44140625" style="62" bestFit="1" customWidth="1"/>
    <col min="14097" max="14097" width="17.33203125" style="62" bestFit="1" customWidth="1"/>
    <col min="14098" max="14098" width="15.44140625" style="62" bestFit="1" customWidth="1"/>
    <col min="14099" max="14099" width="13.109375" style="62" bestFit="1" customWidth="1"/>
    <col min="14100" max="14100" width="12.88671875" style="62" bestFit="1" customWidth="1"/>
    <col min="14101" max="14101" width="21.5546875" style="62" bestFit="1" customWidth="1"/>
    <col min="14102" max="14102" width="17" style="62" bestFit="1" customWidth="1"/>
    <col min="14103" max="14103" width="17.33203125" style="62" bestFit="1" customWidth="1"/>
    <col min="14104" max="14104" width="12.88671875" style="62" bestFit="1" customWidth="1"/>
    <col min="14105" max="14105" width="7.109375" style="62" bestFit="1" customWidth="1"/>
    <col min="14106" max="14106" width="13.44140625" style="62" bestFit="1" customWidth="1"/>
    <col min="14107" max="14107" width="7.109375" style="62" bestFit="1" customWidth="1"/>
    <col min="14108" max="14108" width="12" style="62" bestFit="1" customWidth="1"/>
    <col min="14109" max="14109" width="15.88671875" style="62" bestFit="1" customWidth="1"/>
    <col min="14110" max="14110" width="17.33203125" style="62" bestFit="1" customWidth="1"/>
    <col min="14111" max="14111" width="5.88671875" style="62" bestFit="1" customWidth="1"/>
    <col min="14112" max="14112" width="21.109375" style="62" bestFit="1" customWidth="1"/>
    <col min="14113" max="14113" width="17" style="62" bestFit="1" customWidth="1"/>
    <col min="14114" max="14114" width="24.5546875" style="62" bestFit="1" customWidth="1"/>
    <col min="14115" max="14115" width="11.44140625" style="62" bestFit="1" customWidth="1"/>
    <col min="14116" max="14129" width="0" style="62" hidden="1"/>
    <col min="14130" max="14342" width="9.109375" style="62" customWidth="1"/>
    <col min="14343" max="14343" width="0" style="62" hidden="1"/>
    <col min="14344" max="14344" width="4.109375" style="62" customWidth="1"/>
    <col min="14345" max="14345" width="19.109375" style="62" customWidth="1"/>
    <col min="14346" max="14346" width="19.109375" style="62" bestFit="1" customWidth="1"/>
    <col min="14347" max="14348" width="15.44140625" style="62" bestFit="1" customWidth="1"/>
    <col min="14349" max="14350" width="13.109375" style="62" bestFit="1" customWidth="1"/>
    <col min="14351" max="14351" width="20" style="62" bestFit="1" customWidth="1"/>
    <col min="14352" max="14352" width="12.44140625" style="62" bestFit="1" customWidth="1"/>
    <col min="14353" max="14353" width="17.33203125" style="62" bestFit="1" customWidth="1"/>
    <col min="14354" max="14354" width="15.44140625" style="62" bestFit="1" customWidth="1"/>
    <col min="14355" max="14355" width="13.109375" style="62" bestFit="1" customWidth="1"/>
    <col min="14356" max="14356" width="12.88671875" style="62" bestFit="1" customWidth="1"/>
    <col min="14357" max="14357" width="21.5546875" style="62" bestFit="1" customWidth="1"/>
    <col min="14358" max="14358" width="17" style="62" bestFit="1" customWidth="1"/>
    <col min="14359" max="14359" width="17.33203125" style="62" bestFit="1" customWidth="1"/>
    <col min="14360" max="14360" width="12.88671875" style="62" bestFit="1" customWidth="1"/>
    <col min="14361" max="14361" width="7.109375" style="62" bestFit="1" customWidth="1"/>
    <col min="14362" max="14362" width="13.44140625" style="62" bestFit="1" customWidth="1"/>
    <col min="14363" max="14363" width="7.109375" style="62" bestFit="1" customWidth="1"/>
    <col min="14364" max="14364" width="12" style="62" bestFit="1" customWidth="1"/>
    <col min="14365" max="14365" width="15.88671875" style="62" bestFit="1" customWidth="1"/>
    <col min="14366" max="14366" width="17.33203125" style="62" bestFit="1" customWidth="1"/>
    <col min="14367" max="14367" width="5.88671875" style="62" bestFit="1" customWidth="1"/>
    <col min="14368" max="14368" width="21.109375" style="62" bestFit="1" customWidth="1"/>
    <col min="14369" max="14369" width="17" style="62" bestFit="1" customWidth="1"/>
    <col min="14370" max="14370" width="24.5546875" style="62" bestFit="1" customWidth="1"/>
    <col min="14371" max="14371" width="11.44140625" style="62" bestFit="1" customWidth="1"/>
    <col min="14372" max="14385" width="0" style="62" hidden="1"/>
    <col min="14386" max="14598" width="9.109375" style="62" customWidth="1"/>
    <col min="14599" max="14599" width="0" style="62" hidden="1"/>
    <col min="14600" max="14600" width="4.109375" style="62" customWidth="1"/>
    <col min="14601" max="14601" width="19.109375" style="62" customWidth="1"/>
    <col min="14602" max="14602" width="19.109375" style="62" bestFit="1" customWidth="1"/>
    <col min="14603" max="14604" width="15.44140625" style="62" bestFit="1" customWidth="1"/>
    <col min="14605" max="14606" width="13.109375" style="62" bestFit="1" customWidth="1"/>
    <col min="14607" max="14607" width="20" style="62" bestFit="1" customWidth="1"/>
    <col min="14608" max="14608" width="12.44140625" style="62" bestFit="1" customWidth="1"/>
    <col min="14609" max="14609" width="17.33203125" style="62" bestFit="1" customWidth="1"/>
    <col min="14610" max="14610" width="15.44140625" style="62" bestFit="1" customWidth="1"/>
    <col min="14611" max="14611" width="13.109375" style="62" bestFit="1" customWidth="1"/>
    <col min="14612" max="14612" width="12.88671875" style="62" bestFit="1" customWidth="1"/>
    <col min="14613" max="14613" width="21.5546875" style="62" bestFit="1" customWidth="1"/>
    <col min="14614" max="14614" width="17" style="62" bestFit="1" customWidth="1"/>
    <col min="14615" max="14615" width="17.33203125" style="62" bestFit="1" customWidth="1"/>
    <col min="14616" max="14616" width="12.88671875" style="62" bestFit="1" customWidth="1"/>
    <col min="14617" max="14617" width="7.109375" style="62" bestFit="1" customWidth="1"/>
    <col min="14618" max="14618" width="13.44140625" style="62" bestFit="1" customWidth="1"/>
    <col min="14619" max="14619" width="7.109375" style="62" bestFit="1" customWidth="1"/>
    <col min="14620" max="14620" width="12" style="62" bestFit="1" customWidth="1"/>
    <col min="14621" max="14621" width="15.88671875" style="62" bestFit="1" customWidth="1"/>
    <col min="14622" max="14622" width="17.33203125" style="62" bestFit="1" customWidth="1"/>
    <col min="14623" max="14623" width="5.88671875" style="62" bestFit="1" customWidth="1"/>
    <col min="14624" max="14624" width="21.109375" style="62" bestFit="1" customWidth="1"/>
    <col min="14625" max="14625" width="17" style="62" bestFit="1" customWidth="1"/>
    <col min="14626" max="14626" width="24.5546875" style="62" bestFit="1" customWidth="1"/>
    <col min="14627" max="14627" width="11.44140625" style="62" bestFit="1" customWidth="1"/>
    <col min="14628" max="14641" width="0" style="62" hidden="1"/>
    <col min="14642" max="14854" width="9.109375" style="62" customWidth="1"/>
    <col min="14855" max="14855" width="0" style="62" hidden="1"/>
    <col min="14856" max="14856" width="4.109375" style="62" customWidth="1"/>
    <col min="14857" max="14857" width="19.109375" style="62" customWidth="1"/>
    <col min="14858" max="14858" width="19.109375" style="62" bestFit="1" customWidth="1"/>
    <col min="14859" max="14860" width="15.44140625" style="62" bestFit="1" customWidth="1"/>
    <col min="14861" max="14862" width="13.109375" style="62" bestFit="1" customWidth="1"/>
    <col min="14863" max="14863" width="20" style="62" bestFit="1" customWidth="1"/>
    <col min="14864" max="14864" width="12.44140625" style="62" bestFit="1" customWidth="1"/>
    <col min="14865" max="14865" width="17.33203125" style="62" bestFit="1" customWidth="1"/>
    <col min="14866" max="14866" width="15.44140625" style="62" bestFit="1" customWidth="1"/>
    <col min="14867" max="14867" width="13.109375" style="62" bestFit="1" customWidth="1"/>
    <col min="14868" max="14868" width="12.88671875" style="62" bestFit="1" customWidth="1"/>
    <col min="14869" max="14869" width="21.5546875" style="62" bestFit="1" customWidth="1"/>
    <col min="14870" max="14870" width="17" style="62" bestFit="1" customWidth="1"/>
    <col min="14871" max="14871" width="17.33203125" style="62" bestFit="1" customWidth="1"/>
    <col min="14872" max="14872" width="12.88671875" style="62" bestFit="1" customWidth="1"/>
    <col min="14873" max="14873" width="7.109375" style="62" bestFit="1" customWidth="1"/>
    <col min="14874" max="14874" width="13.44140625" style="62" bestFit="1" customWidth="1"/>
    <col min="14875" max="14875" width="7.109375" style="62" bestFit="1" customWidth="1"/>
    <col min="14876" max="14876" width="12" style="62" bestFit="1" customWidth="1"/>
    <col min="14877" max="14877" width="15.88671875" style="62" bestFit="1" customWidth="1"/>
    <col min="14878" max="14878" width="17.33203125" style="62" bestFit="1" customWidth="1"/>
    <col min="14879" max="14879" width="5.88671875" style="62" bestFit="1" customWidth="1"/>
    <col min="14880" max="14880" width="21.109375" style="62" bestFit="1" customWidth="1"/>
    <col min="14881" max="14881" width="17" style="62" bestFit="1" customWidth="1"/>
    <col min="14882" max="14882" width="24.5546875" style="62" bestFit="1" customWidth="1"/>
    <col min="14883" max="14883" width="11.44140625" style="62" bestFit="1" customWidth="1"/>
    <col min="14884" max="14897" width="0" style="62" hidden="1"/>
    <col min="14898" max="15110" width="9.109375" style="62" customWidth="1"/>
    <col min="15111" max="15111" width="0" style="62" hidden="1"/>
    <col min="15112" max="15112" width="4.109375" style="62" customWidth="1"/>
    <col min="15113" max="15113" width="19.109375" style="62" customWidth="1"/>
    <col min="15114" max="15114" width="19.109375" style="62" bestFit="1" customWidth="1"/>
    <col min="15115" max="15116" width="15.44140625" style="62" bestFit="1" customWidth="1"/>
    <col min="15117" max="15118" width="13.109375" style="62" bestFit="1" customWidth="1"/>
    <col min="15119" max="15119" width="20" style="62" bestFit="1" customWidth="1"/>
    <col min="15120" max="15120" width="12.44140625" style="62" bestFit="1" customWidth="1"/>
    <col min="15121" max="15121" width="17.33203125" style="62" bestFit="1" customWidth="1"/>
    <col min="15122" max="15122" width="15.44140625" style="62" bestFit="1" customWidth="1"/>
    <col min="15123" max="15123" width="13.109375" style="62" bestFit="1" customWidth="1"/>
    <col min="15124" max="15124" width="12.88671875" style="62" bestFit="1" customWidth="1"/>
    <col min="15125" max="15125" width="21.5546875" style="62" bestFit="1" customWidth="1"/>
    <col min="15126" max="15126" width="17" style="62" bestFit="1" customWidth="1"/>
    <col min="15127" max="15127" width="17.33203125" style="62" bestFit="1" customWidth="1"/>
    <col min="15128" max="15128" width="12.88671875" style="62" bestFit="1" customWidth="1"/>
    <col min="15129" max="15129" width="7.109375" style="62" bestFit="1" customWidth="1"/>
    <col min="15130" max="15130" width="13.44140625" style="62" bestFit="1" customWidth="1"/>
    <col min="15131" max="15131" width="7.109375" style="62" bestFit="1" customWidth="1"/>
    <col min="15132" max="15132" width="12" style="62" bestFit="1" customWidth="1"/>
    <col min="15133" max="15133" width="15.88671875" style="62" bestFit="1" customWidth="1"/>
    <col min="15134" max="15134" width="17.33203125" style="62" bestFit="1" customWidth="1"/>
    <col min="15135" max="15135" width="5.88671875" style="62" bestFit="1" customWidth="1"/>
    <col min="15136" max="15136" width="21.109375" style="62" bestFit="1" customWidth="1"/>
    <col min="15137" max="15137" width="17" style="62" bestFit="1" customWidth="1"/>
    <col min="15138" max="15138" width="24.5546875" style="62" bestFit="1" customWidth="1"/>
    <col min="15139" max="15139" width="11.44140625" style="62" bestFit="1" customWidth="1"/>
    <col min="15140" max="15153" width="0" style="62" hidden="1"/>
    <col min="15154" max="15366" width="9.109375" style="62" customWidth="1"/>
    <col min="15367" max="15367" width="0" style="62" hidden="1"/>
    <col min="15368" max="15368" width="4.109375" style="62" customWidth="1"/>
    <col min="15369" max="15369" width="19.109375" style="62" customWidth="1"/>
    <col min="15370" max="15370" width="19.109375" style="62" bestFit="1" customWidth="1"/>
    <col min="15371" max="15372" width="15.44140625" style="62" bestFit="1" customWidth="1"/>
    <col min="15373" max="15374" width="13.109375" style="62" bestFit="1" customWidth="1"/>
    <col min="15375" max="15375" width="20" style="62" bestFit="1" customWidth="1"/>
    <col min="15376" max="15376" width="12.44140625" style="62" bestFit="1" customWidth="1"/>
    <col min="15377" max="15377" width="17.33203125" style="62" bestFit="1" customWidth="1"/>
    <col min="15378" max="15378" width="15.44140625" style="62" bestFit="1" customWidth="1"/>
    <col min="15379" max="15379" width="13.109375" style="62" bestFit="1" customWidth="1"/>
    <col min="15380" max="15380" width="12.88671875" style="62" bestFit="1" customWidth="1"/>
    <col min="15381" max="15381" width="21.5546875" style="62" bestFit="1" customWidth="1"/>
    <col min="15382" max="15382" width="17" style="62" bestFit="1" customWidth="1"/>
    <col min="15383" max="15383" width="17.33203125" style="62" bestFit="1" customWidth="1"/>
    <col min="15384" max="15384" width="12.88671875" style="62" bestFit="1" customWidth="1"/>
    <col min="15385" max="15385" width="7.109375" style="62" bestFit="1" customWidth="1"/>
    <col min="15386" max="15386" width="13.44140625" style="62" bestFit="1" customWidth="1"/>
    <col min="15387" max="15387" width="7.109375" style="62" bestFit="1" customWidth="1"/>
    <col min="15388" max="15388" width="12" style="62" bestFit="1" customWidth="1"/>
    <col min="15389" max="15389" width="15.88671875" style="62" bestFit="1" customWidth="1"/>
    <col min="15390" max="15390" width="17.33203125" style="62" bestFit="1" customWidth="1"/>
    <col min="15391" max="15391" width="5.88671875" style="62" bestFit="1" customWidth="1"/>
    <col min="15392" max="15392" width="21.109375" style="62" bestFit="1" customWidth="1"/>
    <col min="15393" max="15393" width="17" style="62" bestFit="1" customWidth="1"/>
    <col min="15394" max="15394" width="24.5546875" style="62" bestFit="1" customWidth="1"/>
    <col min="15395" max="15395" width="11.44140625" style="62" bestFit="1" customWidth="1"/>
    <col min="15396" max="15409" width="0" style="62" hidden="1"/>
    <col min="15410" max="15622" width="9.109375" style="62" customWidth="1"/>
    <col min="15623" max="15623" width="0" style="62" hidden="1"/>
    <col min="15624" max="15624" width="4.109375" style="62" customWidth="1"/>
    <col min="15625" max="15625" width="19.109375" style="62" customWidth="1"/>
    <col min="15626" max="15626" width="19.109375" style="62" bestFit="1" customWidth="1"/>
    <col min="15627" max="15628" width="15.44140625" style="62" bestFit="1" customWidth="1"/>
    <col min="15629" max="15630" width="13.109375" style="62" bestFit="1" customWidth="1"/>
    <col min="15631" max="15631" width="20" style="62" bestFit="1" customWidth="1"/>
    <col min="15632" max="15632" width="12.44140625" style="62" bestFit="1" customWidth="1"/>
    <col min="15633" max="15633" width="17.33203125" style="62" bestFit="1" customWidth="1"/>
    <col min="15634" max="15634" width="15.44140625" style="62" bestFit="1" customWidth="1"/>
    <col min="15635" max="15635" width="13.109375" style="62" bestFit="1" customWidth="1"/>
    <col min="15636" max="15636" width="12.88671875" style="62" bestFit="1" customWidth="1"/>
    <col min="15637" max="15637" width="21.5546875" style="62" bestFit="1" customWidth="1"/>
    <col min="15638" max="15638" width="17" style="62" bestFit="1" customWidth="1"/>
    <col min="15639" max="15639" width="17.33203125" style="62" bestFit="1" customWidth="1"/>
    <col min="15640" max="15640" width="12.88671875" style="62" bestFit="1" customWidth="1"/>
    <col min="15641" max="15641" width="7.109375" style="62" bestFit="1" customWidth="1"/>
    <col min="15642" max="15642" width="13.44140625" style="62" bestFit="1" customWidth="1"/>
    <col min="15643" max="15643" width="7.109375" style="62" bestFit="1" customWidth="1"/>
    <col min="15644" max="15644" width="12" style="62" bestFit="1" customWidth="1"/>
    <col min="15645" max="15645" width="15.88671875" style="62" bestFit="1" customWidth="1"/>
    <col min="15646" max="15646" width="17.33203125" style="62" bestFit="1" customWidth="1"/>
    <col min="15647" max="15647" width="5.88671875" style="62" bestFit="1" customWidth="1"/>
    <col min="15648" max="15648" width="21.109375" style="62" bestFit="1" customWidth="1"/>
    <col min="15649" max="15649" width="17" style="62" bestFit="1" customWidth="1"/>
    <col min="15650" max="15650" width="24.5546875" style="62" bestFit="1" customWidth="1"/>
    <col min="15651" max="15651" width="11.44140625" style="62" bestFit="1" customWidth="1"/>
    <col min="15652" max="15665" width="0" style="62" hidden="1"/>
    <col min="15666" max="15878" width="9.109375" style="62" customWidth="1"/>
    <col min="15879" max="15879" width="0" style="62" hidden="1"/>
    <col min="15880" max="15880" width="4.109375" style="62" customWidth="1"/>
    <col min="15881" max="15881" width="19.109375" style="62" customWidth="1"/>
    <col min="15882" max="15882" width="19.109375" style="62" bestFit="1" customWidth="1"/>
    <col min="15883" max="15884" width="15.44140625" style="62" bestFit="1" customWidth="1"/>
    <col min="15885" max="15886" width="13.109375" style="62" bestFit="1" customWidth="1"/>
    <col min="15887" max="15887" width="20" style="62" bestFit="1" customWidth="1"/>
    <col min="15888" max="15888" width="12.44140625" style="62" bestFit="1" customWidth="1"/>
    <col min="15889" max="15889" width="17.33203125" style="62" bestFit="1" customWidth="1"/>
    <col min="15890" max="15890" width="15.44140625" style="62" bestFit="1" customWidth="1"/>
    <col min="15891" max="15891" width="13.109375" style="62" bestFit="1" customWidth="1"/>
    <col min="15892" max="15892" width="12.88671875" style="62" bestFit="1" customWidth="1"/>
    <col min="15893" max="15893" width="21.5546875" style="62" bestFit="1" customWidth="1"/>
    <col min="15894" max="15894" width="17" style="62" bestFit="1" customWidth="1"/>
    <col min="15895" max="15895" width="17.33203125" style="62" bestFit="1" customWidth="1"/>
    <col min="15896" max="15896" width="12.88671875" style="62" bestFit="1" customWidth="1"/>
    <col min="15897" max="15897" width="7.109375" style="62" bestFit="1" customWidth="1"/>
    <col min="15898" max="15898" width="13.44140625" style="62" bestFit="1" customWidth="1"/>
    <col min="15899" max="15899" width="7.109375" style="62" bestFit="1" customWidth="1"/>
    <col min="15900" max="15900" width="12" style="62" bestFit="1" customWidth="1"/>
    <col min="15901" max="15901" width="15.88671875" style="62" bestFit="1" customWidth="1"/>
    <col min="15902" max="15902" width="17.33203125" style="62" bestFit="1" customWidth="1"/>
    <col min="15903" max="15903" width="5.88671875" style="62" bestFit="1" customWidth="1"/>
    <col min="15904" max="15904" width="21.109375" style="62" bestFit="1" customWidth="1"/>
    <col min="15905" max="15905" width="17" style="62" bestFit="1" customWidth="1"/>
    <col min="15906" max="15906" width="24.5546875" style="62" bestFit="1" customWidth="1"/>
    <col min="15907" max="15907" width="11.44140625" style="62" bestFit="1" customWidth="1"/>
    <col min="15908" max="15921" width="0" style="62" hidden="1"/>
    <col min="15922" max="16134" width="9.109375" style="62" customWidth="1"/>
    <col min="16135" max="16135" width="0" style="62" hidden="1"/>
    <col min="16136" max="16136" width="4.109375" style="62" customWidth="1"/>
    <col min="16137" max="16137" width="19.109375" style="62" customWidth="1"/>
    <col min="16138" max="16138" width="19.109375" style="62" bestFit="1" customWidth="1"/>
    <col min="16139" max="16140" width="15.44140625" style="62" bestFit="1" customWidth="1"/>
    <col min="16141" max="16142" width="13.109375" style="62" bestFit="1" customWidth="1"/>
    <col min="16143" max="16143" width="20" style="62" bestFit="1" customWidth="1"/>
    <col min="16144" max="16144" width="12.44140625" style="62" bestFit="1" customWidth="1"/>
    <col min="16145" max="16145" width="17.33203125" style="62" bestFit="1" customWidth="1"/>
    <col min="16146" max="16146" width="15.44140625" style="62" bestFit="1" customWidth="1"/>
    <col min="16147" max="16147" width="13.109375" style="62" bestFit="1" customWidth="1"/>
    <col min="16148" max="16148" width="12.88671875" style="62" bestFit="1" customWidth="1"/>
    <col min="16149" max="16149" width="21.5546875" style="62" bestFit="1" customWidth="1"/>
    <col min="16150" max="16150" width="17" style="62" bestFit="1" customWidth="1"/>
    <col min="16151" max="16151" width="17.33203125" style="62" bestFit="1" customWidth="1"/>
    <col min="16152" max="16152" width="12.88671875" style="62" bestFit="1" customWidth="1"/>
    <col min="16153" max="16153" width="7.109375" style="62" bestFit="1" customWidth="1"/>
    <col min="16154" max="16154" width="13.44140625" style="62" bestFit="1" customWidth="1"/>
    <col min="16155" max="16155" width="7.109375" style="62" bestFit="1" customWidth="1"/>
    <col min="16156" max="16156" width="12" style="62" bestFit="1" customWidth="1"/>
    <col min="16157" max="16157" width="15.88671875" style="62" bestFit="1" customWidth="1"/>
    <col min="16158" max="16158" width="17.33203125" style="62" bestFit="1" customWidth="1"/>
    <col min="16159" max="16159" width="5.88671875" style="62" bestFit="1" customWidth="1"/>
    <col min="16160" max="16160" width="21.109375" style="62" bestFit="1" customWidth="1"/>
    <col min="16161" max="16161" width="17" style="62" bestFit="1" customWidth="1"/>
    <col min="16162" max="16162" width="24.5546875" style="62" bestFit="1" customWidth="1"/>
    <col min="16163" max="16163" width="11.44140625" style="62" bestFit="1" customWidth="1"/>
    <col min="16164" max="16177" width="0" style="62" hidden="1"/>
    <col min="16178" max="16384" width="9.109375" style="62" customWidth="1"/>
  </cols>
  <sheetData>
    <row r="1" spans="1:50" s="5" customFormat="1" ht="15.75" customHeight="1" x14ac:dyDescent="0.4">
      <c r="A1" s="1"/>
      <c r="B1" s="2"/>
      <c r="C1" s="3" t="s">
        <v>0</v>
      </c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G1" s="6"/>
      <c r="AH1" s="6"/>
      <c r="AI1" s="6"/>
    </row>
    <row r="2" spans="1:50" s="5" customFormat="1" ht="15.6" customHeight="1" x14ac:dyDescent="0.3">
      <c r="A2" s="1"/>
      <c r="B2" s="2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G2" s="6"/>
      <c r="AH2" s="6"/>
      <c r="AI2" s="6"/>
    </row>
    <row r="3" spans="1:50" s="5" customFormat="1" ht="15.45" customHeight="1" x14ac:dyDescent="0.3">
      <c r="A3" s="1"/>
      <c r="B3" s="2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7"/>
      <c r="AC3" s="7"/>
      <c r="AD3" s="7"/>
      <c r="AE3" s="7"/>
      <c r="AF3" s="187" t="s">
        <v>3</v>
      </c>
      <c r="AG3" s="188"/>
      <c r="AH3" s="188"/>
      <c r="AI3" s="188"/>
      <c r="AJ3" s="188"/>
      <c r="AK3" s="188"/>
      <c r="AL3" s="188"/>
      <c r="AM3" s="188"/>
      <c r="AN3" s="188"/>
      <c r="AO3" s="188"/>
      <c r="AP3" s="184" t="s">
        <v>4</v>
      </c>
      <c r="AQ3" s="185"/>
      <c r="AR3" s="185"/>
      <c r="AS3" s="185"/>
      <c r="AT3" s="185"/>
      <c r="AU3" s="185"/>
      <c r="AV3" s="185"/>
      <c r="AW3" s="185"/>
      <c r="AX3" s="186"/>
    </row>
    <row r="4" spans="1:50" s="14" customFormat="1" ht="16.2" customHeight="1" thickBot="1" x14ac:dyDescent="0.35">
      <c r="A4" s="8"/>
      <c r="B4" s="9"/>
      <c r="C4" s="10" t="s">
        <v>5</v>
      </c>
      <c r="D4" s="11"/>
      <c r="E4" s="12">
        <v>1</v>
      </c>
      <c r="F4" s="12">
        <v>1</v>
      </c>
      <c r="G4" s="12">
        <v>10</v>
      </c>
      <c r="H4" s="13">
        <v>12</v>
      </c>
      <c r="I4" s="13">
        <v>13</v>
      </c>
      <c r="J4" s="12">
        <v>14</v>
      </c>
      <c r="K4" s="12">
        <v>15</v>
      </c>
      <c r="L4" s="12"/>
      <c r="N4" s="12">
        <v>42</v>
      </c>
      <c r="O4" s="12">
        <v>44</v>
      </c>
      <c r="P4" s="12">
        <v>9</v>
      </c>
      <c r="Q4" s="12">
        <v>99</v>
      </c>
      <c r="R4" s="12"/>
      <c r="T4" s="15"/>
      <c r="U4" s="16"/>
      <c r="V4" s="17"/>
      <c r="W4" s="16"/>
      <c r="X4" s="18"/>
      <c r="AB4" s="7"/>
      <c r="AC4" s="7"/>
      <c r="AD4" s="7"/>
      <c r="AE4" s="7"/>
      <c r="AF4" s="19">
        <v>16</v>
      </c>
      <c r="AG4" s="20">
        <v>20</v>
      </c>
      <c r="AH4" s="20">
        <v>21</v>
      </c>
      <c r="AI4" s="20">
        <v>22</v>
      </c>
      <c r="AJ4" s="20">
        <v>23</v>
      </c>
      <c r="AK4" s="20">
        <v>24</v>
      </c>
      <c r="AL4" s="20">
        <v>26</v>
      </c>
      <c r="AM4" s="20">
        <v>28</v>
      </c>
      <c r="AN4" s="20">
        <v>30</v>
      </c>
      <c r="AO4" s="20">
        <v>31</v>
      </c>
      <c r="AP4" s="19">
        <v>34</v>
      </c>
      <c r="AQ4" s="20">
        <v>35</v>
      </c>
      <c r="AR4" s="20">
        <v>36</v>
      </c>
      <c r="AS4" s="20">
        <v>37</v>
      </c>
      <c r="AT4" s="20">
        <v>38</v>
      </c>
      <c r="AU4" s="20">
        <v>39</v>
      </c>
      <c r="AV4" s="20">
        <v>40</v>
      </c>
      <c r="AW4" s="20">
        <v>41</v>
      </c>
      <c r="AX4" s="21">
        <v>98</v>
      </c>
    </row>
    <row r="5" spans="1:50" s="31" customFormat="1" ht="15.6" customHeight="1" x14ac:dyDescent="0.3">
      <c r="A5" s="180" t="s">
        <v>6</v>
      </c>
      <c r="B5" s="182" t="s">
        <v>7</v>
      </c>
      <c r="C5" s="22" t="s">
        <v>8</v>
      </c>
      <c r="D5" s="23" t="s">
        <v>9</v>
      </c>
      <c r="E5" s="24" t="s">
        <v>10</v>
      </c>
      <c r="F5" s="25" t="s">
        <v>11</v>
      </c>
      <c r="G5" s="26" t="s">
        <v>12</v>
      </c>
      <c r="H5" s="26" t="s">
        <v>13</v>
      </c>
      <c r="I5" s="26" t="s">
        <v>14</v>
      </c>
      <c r="J5" s="26" t="s">
        <v>15</v>
      </c>
      <c r="K5" s="26" t="s">
        <v>16</v>
      </c>
      <c r="L5" s="26" t="s">
        <v>17</v>
      </c>
      <c r="M5" s="26" t="s">
        <v>18</v>
      </c>
      <c r="N5" s="26" t="s">
        <v>19</v>
      </c>
      <c r="O5" s="26" t="s">
        <v>20</v>
      </c>
      <c r="P5" s="26" t="s">
        <v>21</v>
      </c>
      <c r="Q5" s="26" t="s">
        <v>22</v>
      </c>
      <c r="R5" s="25" t="s">
        <v>23</v>
      </c>
      <c r="S5" s="25" t="s">
        <v>24</v>
      </c>
      <c r="T5" s="25" t="s">
        <v>25</v>
      </c>
      <c r="U5" s="27" t="s">
        <v>8</v>
      </c>
      <c r="V5" s="28" t="s">
        <v>26</v>
      </c>
      <c r="W5" s="27" t="s">
        <v>8</v>
      </c>
      <c r="X5" s="29" t="s">
        <v>27</v>
      </c>
      <c r="Y5" s="25" t="s">
        <v>28</v>
      </c>
      <c r="Z5" s="25" t="s">
        <v>29</v>
      </c>
      <c r="AA5" s="30" t="s">
        <v>30</v>
      </c>
      <c r="AB5" s="31" t="s">
        <v>31</v>
      </c>
      <c r="AC5" s="32" t="s">
        <v>32</v>
      </c>
      <c r="AD5" s="32" t="s">
        <v>33</v>
      </c>
      <c r="AE5" s="32" t="s">
        <v>34</v>
      </c>
      <c r="AF5" s="26" t="s">
        <v>35</v>
      </c>
      <c r="AG5" s="26" t="s">
        <v>36</v>
      </c>
      <c r="AH5" s="26" t="s">
        <v>37</v>
      </c>
      <c r="AI5" s="26" t="s">
        <v>38</v>
      </c>
      <c r="AJ5" s="26" t="s">
        <v>39</v>
      </c>
      <c r="AK5" s="26" t="s">
        <v>40</v>
      </c>
      <c r="AL5" s="26" t="s">
        <v>41</v>
      </c>
      <c r="AM5" s="26" t="s">
        <v>42</v>
      </c>
      <c r="AN5" s="26" t="s">
        <v>43</v>
      </c>
      <c r="AO5" s="26" t="s">
        <v>44</v>
      </c>
      <c r="AP5" s="26" t="s">
        <v>45</v>
      </c>
      <c r="AQ5" s="26" t="s">
        <v>46</v>
      </c>
      <c r="AR5" s="26" t="s">
        <v>47</v>
      </c>
      <c r="AS5" s="26" t="s">
        <v>48</v>
      </c>
      <c r="AT5" s="26" t="s">
        <v>49</v>
      </c>
      <c r="AU5" s="26" t="s">
        <v>50</v>
      </c>
      <c r="AV5" s="26" t="s">
        <v>51</v>
      </c>
      <c r="AW5" s="26" t="s">
        <v>52</v>
      </c>
      <c r="AX5" s="26" t="s">
        <v>53</v>
      </c>
    </row>
    <row r="6" spans="1:50" s="31" customFormat="1" ht="16.2" customHeight="1" thickBot="1" x14ac:dyDescent="0.35">
      <c r="A6" s="181"/>
      <c r="B6" s="183"/>
      <c r="C6" s="33" t="s">
        <v>54</v>
      </c>
      <c r="D6" s="34" t="s">
        <v>55</v>
      </c>
      <c r="E6" s="35" t="s">
        <v>56</v>
      </c>
      <c r="F6" s="35" t="s">
        <v>56</v>
      </c>
      <c r="G6" s="35" t="s">
        <v>56</v>
      </c>
      <c r="H6" s="35" t="s">
        <v>56</v>
      </c>
      <c r="I6" s="35" t="s">
        <v>57</v>
      </c>
      <c r="J6" s="35" t="s">
        <v>58</v>
      </c>
      <c r="K6" s="35" t="s">
        <v>59</v>
      </c>
      <c r="L6" s="35" t="s">
        <v>56</v>
      </c>
      <c r="M6" s="35" t="s">
        <v>56</v>
      </c>
      <c r="N6" s="35" t="s">
        <v>56</v>
      </c>
      <c r="O6" s="35" t="s">
        <v>60</v>
      </c>
      <c r="P6" s="35" t="s">
        <v>56</v>
      </c>
      <c r="Q6" s="35" t="s">
        <v>56</v>
      </c>
      <c r="R6" s="35" t="s">
        <v>56</v>
      </c>
      <c r="S6" s="35" t="s">
        <v>61</v>
      </c>
      <c r="T6" s="35" t="s">
        <v>24</v>
      </c>
      <c r="U6" s="36"/>
      <c r="V6" s="37" t="s">
        <v>24</v>
      </c>
      <c r="W6" s="36"/>
      <c r="X6" s="38"/>
      <c r="Y6" s="35"/>
      <c r="Z6" s="35" t="s">
        <v>62</v>
      </c>
      <c r="AA6" s="39"/>
      <c r="AB6" s="31" t="s">
        <v>63</v>
      </c>
      <c r="AC6" s="32" t="s">
        <v>24</v>
      </c>
      <c r="AD6" s="32"/>
      <c r="AE6" s="40"/>
      <c r="AF6" s="35" t="s">
        <v>64</v>
      </c>
      <c r="AG6" s="35" t="s">
        <v>35</v>
      </c>
      <c r="AH6" s="35" t="s">
        <v>35</v>
      </c>
      <c r="AI6" s="35" t="s">
        <v>35</v>
      </c>
      <c r="AJ6" s="35" t="s">
        <v>35</v>
      </c>
      <c r="AK6" s="35" t="s">
        <v>35</v>
      </c>
      <c r="AL6" s="35"/>
      <c r="AM6" s="35" t="s">
        <v>35</v>
      </c>
      <c r="AN6" s="35" t="s">
        <v>35</v>
      </c>
      <c r="AO6" s="35"/>
      <c r="AP6" s="35"/>
      <c r="AQ6" s="35"/>
      <c r="AR6" s="35"/>
      <c r="AS6" s="35"/>
      <c r="AT6" s="35"/>
      <c r="AU6" s="35"/>
      <c r="AV6" s="35"/>
      <c r="AW6" s="35"/>
      <c r="AX6" s="35"/>
    </row>
    <row r="7" spans="1:50" s="5" customFormat="1" ht="15.6" customHeight="1" x14ac:dyDescent="0.3">
      <c r="A7" s="1"/>
      <c r="B7" s="2"/>
      <c r="C7" s="41"/>
      <c r="D7" s="42"/>
      <c r="E7" s="43"/>
      <c r="F7" s="43"/>
      <c r="G7" s="43"/>
      <c r="H7" s="44"/>
      <c r="I7" s="44"/>
      <c r="J7" s="44"/>
      <c r="K7" s="44"/>
      <c r="L7" s="44"/>
      <c r="M7" s="44"/>
      <c r="N7" s="43"/>
      <c r="O7" s="43"/>
      <c r="P7" s="43"/>
      <c r="Q7" s="43"/>
      <c r="R7" s="43"/>
      <c r="S7" s="44"/>
      <c r="T7" s="44"/>
      <c r="U7" s="45"/>
      <c r="V7" s="46"/>
      <c r="W7" s="47"/>
      <c r="X7" s="48"/>
      <c r="Y7" s="44"/>
      <c r="Z7" s="49"/>
      <c r="AA7" s="50"/>
      <c r="AC7" s="51"/>
      <c r="AD7" s="51"/>
      <c r="AE7" s="6"/>
      <c r="AF7" s="44"/>
      <c r="AG7" s="44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</row>
    <row r="8" spans="1:50" ht="15.6" customHeight="1" x14ac:dyDescent="0.3">
      <c r="A8" s="52">
        <f t="shared" ref="A8:A38" si="0">C8</f>
        <v>46266</v>
      </c>
      <c r="B8" s="9" t="str">
        <f t="shared" ref="B8:B38" si="1">TEXT(A8,"DD-MMM-YYYY DDDD")</f>
        <v>01-Sep-2026 Tuesday</v>
      </c>
      <c r="C8" s="53">
        <v>46266</v>
      </c>
      <c r="D8" s="54">
        <f>SUMIF(statement!$K:$K,ANALISA!AA8,statement!$F:$F)</f>
        <v>0</v>
      </c>
      <c r="E8" s="54">
        <f>SUMIFS(statement!$I:$I,statement!$K:$K,ANALISA!$AA8, statement!$B:$B,ANALISA!E$4)</f>
        <v>0</v>
      </c>
      <c r="F8" s="54">
        <f>SUMIFS(statement!$H:$H,statement!$K:$K,ANALISA!$AA8, statement!$B:$B,ANALISA!F$4)</f>
        <v>0</v>
      </c>
      <c r="G8" s="54">
        <f>SUMIFS(statement!$I:$I,statement!$K:$K,ANALISA!$AA8, statement!$B:$B,ANALISA!G$4)</f>
        <v>0</v>
      </c>
      <c r="H8" s="54">
        <f>SUMIFS(statement!$I:$I,statement!$K:$K,ANALISA!$AA8, statement!$B:$B,ANALISA!H$4)</f>
        <v>0</v>
      </c>
      <c r="I8" s="54">
        <f>SUMIFS(statement!$I:$I,statement!$K:$K,ANALISA!$AA8, statement!$B:$B,ANALISA!I$4)</f>
        <v>0</v>
      </c>
      <c r="J8" s="54">
        <f>SUMIFS(statement!$I:$I,statement!$K:$K,ANALISA!$AA8, statement!$B:$B,ANALISA!J$4)</f>
        <v>0</v>
      </c>
      <c r="K8" s="54">
        <f>SUMIFS(statement!$I:$I,statement!$K:$K,ANALISA!$AA8, statement!$B:$B,ANALISA!K$4)</f>
        <v>0</v>
      </c>
      <c r="L8" s="54">
        <f t="shared" ref="L8:L38" si="2">AF8+AG8+AH8+AI8+AJ8+AK8+AM8+AN8+AO8+AL8</f>
        <v>0</v>
      </c>
      <c r="M8" s="54">
        <f>SUMIFS(statement!$I:$I,statement!$K:$K,ANALISA!$AA8, statement!$B:$B,ANALISA!M$4)</f>
        <v>0</v>
      </c>
      <c r="N8" s="54">
        <f>SUMIFS(statement!$I:$I,statement!$K:$K,ANALISA!$AA8, statement!$B:$B,ANALISA!N$4)</f>
        <v>0</v>
      </c>
      <c r="O8" s="54">
        <f>SUMIFS(statement!$I:$I,statement!$K:$K,ANALISA!$AA8, statement!$B:$B,ANALISA!O$4)</f>
        <v>0</v>
      </c>
      <c r="P8" s="54">
        <f>SUMIFS(statement!$I:$I,statement!$K:$K,ANALISA!$AA8, statement!$B:$B,ANALISA!P$4)</f>
        <v>0</v>
      </c>
      <c r="Q8" s="54">
        <f>SUMIFS(statement!$I:$I,statement!$K:$K,ANALISA!$AA8, statement!$B:$B,ANALISA!Q$4)</f>
        <v>0</v>
      </c>
      <c r="R8" s="54">
        <f>SUMIF(statement!$K:$K,ANALISA!AA8,statement!$J:$J)</f>
        <v>0</v>
      </c>
      <c r="S8" s="55">
        <f t="shared" ref="S8:S38" si="3">D8-G8-H8-I8-J8-N8-P8+R8-K8-L8-M8-O8</f>
        <v>0</v>
      </c>
      <c r="T8" s="56">
        <f>IFERROR(VLOOKUP(S8,RK!$D$1:$E$65536,1,FALSE),0)</f>
        <v>0</v>
      </c>
      <c r="U8" s="57" t="e">
        <f>VLOOKUP(T8,RK!$D$1:$E$65536,2,FALSE)</f>
        <v>#N/A</v>
      </c>
      <c r="V8" s="58"/>
      <c r="W8" s="59" t="e">
        <f>VLOOKUP(V8,RK!$D$1:$E$65536,2,FALSE)</f>
        <v>#N/A</v>
      </c>
      <c r="X8" s="60">
        <f>P8-S8+T8-V8</f>
        <v>0</v>
      </c>
      <c r="Y8" s="55">
        <v>0</v>
      </c>
      <c r="Z8" s="55"/>
      <c r="AA8" s="61">
        <v>1</v>
      </c>
      <c r="AC8" s="40">
        <f t="shared" ref="AC8:AC38" si="4">S8</f>
        <v>0</v>
      </c>
      <c r="AD8" s="63" t="str">
        <f>IFERROR(VLOOKUP(AB8,BDEPO!$A:$K,11,FALSE),"-")</f>
        <v>-</v>
      </c>
      <c r="AE8" s="6" t="str">
        <f t="shared" ref="AE8:AE38" si="5">IF(T8=AC8,"DEPOSITED","BELUM SETOR")</f>
        <v>DEPOSITED</v>
      </c>
      <c r="AF8" s="54">
        <f>SUMIFS(statement!$I:$I,statement!$K:$K,ANALISA!$AA8, statement!$B:$B,ANALISA!AF$4)</f>
        <v>0</v>
      </c>
      <c r="AG8" s="54">
        <f>SUMIFS(statement!$I:$I,statement!$K:$K,ANALISA!$AA8, statement!$B:$B,ANALISA!AG$4)</f>
        <v>0</v>
      </c>
      <c r="AH8" s="54">
        <f>SUMIFS(statement!$I:$I,statement!$K:$K,ANALISA!$AA8, statement!$B:$B,ANALISA!AH$4)</f>
        <v>0</v>
      </c>
      <c r="AI8" s="54">
        <f>SUMIFS(statement!$I:$I,statement!$K:$K,ANALISA!$AA8, statement!$B:$B,ANALISA!AI$4)</f>
        <v>0</v>
      </c>
      <c r="AJ8" s="54">
        <f>SUMIFS(statement!$I:$I,statement!$K:$K,ANALISA!$AA8, statement!$B:$B,ANALISA!AJ$4)</f>
        <v>0</v>
      </c>
      <c r="AK8" s="54">
        <f>SUMIFS(statement!$I:$I,statement!$K:$K,ANALISA!$AA8, statement!$B:$B,ANALISA!AK$4)</f>
        <v>0</v>
      </c>
      <c r="AL8" s="54">
        <f>SUMIFS(statement!$I:$I,statement!$K:$K,ANALISA!$AA8, statement!$B:$B,ANALISA!AL$4)</f>
        <v>0</v>
      </c>
      <c r="AM8" s="54">
        <f>SUMIFS(statement!$I:$I,statement!$K:$K,ANALISA!$AA8, statement!$B:$B,ANALISA!AM$4)</f>
        <v>0</v>
      </c>
      <c r="AN8" s="54">
        <f>SUMIFS(statement!$I:$I,statement!$K:$K,ANALISA!$AA8, statement!$B:$B,ANALISA!AN$4)</f>
        <v>0</v>
      </c>
      <c r="AO8" s="54">
        <f>SUMIFS(statement!$I:$I,statement!$K:$K,ANALISA!$AA8, statement!$B:$B,ANALISA!AO$4)</f>
        <v>0</v>
      </c>
      <c r="AP8" s="54">
        <f>SUMIFS(statement!$I:$I,statement!$K:$K,ANALISA!$AA8, statement!$B:$B,ANALISA!AP$4)</f>
        <v>0</v>
      </c>
      <c r="AQ8" s="54">
        <f>SUMIFS(statement!$I:$I,statement!$K:$K,ANALISA!$AA8, statement!$B:$B,ANALISA!AQ$4)</f>
        <v>0</v>
      </c>
      <c r="AR8" s="54">
        <f>SUMIFS(statement!$I:$I,statement!$K:$K,ANALISA!$AA8, statement!$B:$B,ANALISA!AR$4)</f>
        <v>0</v>
      </c>
      <c r="AS8" s="54">
        <f>SUMIFS(statement!$I:$I,statement!$K:$K,ANALISA!$AA8, statement!$B:$B,ANALISA!AS$4)</f>
        <v>0</v>
      </c>
      <c r="AT8" s="54">
        <f>SUMIFS(statement!$I:$I,statement!$K:$K,ANALISA!$AA8, statement!$B:$B,ANALISA!AT$4)</f>
        <v>0</v>
      </c>
      <c r="AU8" s="54">
        <f>SUMIFS(statement!$I:$I,statement!$K:$K,ANALISA!$AA8, statement!$B:$B,ANALISA!AU$4)</f>
        <v>0</v>
      </c>
      <c r="AV8" s="54">
        <f>SUMIFS(statement!$I:$I,statement!$K:$K,ANALISA!$AA8, statement!$B:$B,ANALISA!AV$4)</f>
        <v>0</v>
      </c>
      <c r="AW8" s="54">
        <f>SUMIFS(statement!$I:$I,statement!$K:$K,ANALISA!$AA8, statement!$B:$B,ANALISA!AW$4)</f>
        <v>0</v>
      </c>
      <c r="AX8" s="54">
        <f>SUMIFS(statement!$I:$I,statement!$K:$K,ANALISA!$AA8, statement!$B:$B,ANALISA!AX$4)</f>
        <v>0</v>
      </c>
    </row>
    <row r="9" spans="1:50" ht="15.6" customHeight="1" x14ac:dyDescent="0.3">
      <c r="A9" s="52">
        <f t="shared" si="0"/>
        <v>46267</v>
      </c>
      <c r="B9" s="9" t="str">
        <f t="shared" si="1"/>
        <v>02-Sep-2026 Wednesday</v>
      </c>
      <c r="C9" s="53">
        <v>46267</v>
      </c>
      <c r="D9" s="54">
        <f>SUMIF(statement!$K:$K,ANALISA!AA9,statement!$F:$F)</f>
        <v>0</v>
      </c>
      <c r="E9" s="54">
        <f>SUMIFS(statement!$I:$I,statement!$K:$K,ANALISA!$AA9, statement!$B:$B,ANALISA!E$4)</f>
        <v>0</v>
      </c>
      <c r="F9" s="54">
        <f>SUMIFS(statement!$H:$H,statement!$K:$K,ANALISA!$AA9, statement!$B:$B,ANALISA!F$4)</f>
        <v>0</v>
      </c>
      <c r="G9" s="54">
        <f>SUMIFS(statement!$I:$I,statement!$K:$K,ANALISA!$AA9, statement!$B:$B,ANALISA!G$4)</f>
        <v>0</v>
      </c>
      <c r="H9" s="54">
        <f>SUMIFS(statement!$I:$I,statement!$K:$K,ANALISA!$AA9, statement!$B:$B,ANALISA!H$4)</f>
        <v>0</v>
      </c>
      <c r="I9" s="54">
        <f>SUMIFS(statement!$I:$I,statement!$K:$K,ANALISA!$AA9, statement!$B:$B,ANALISA!I$4)</f>
        <v>0</v>
      </c>
      <c r="J9" s="54">
        <f>SUMIFS(statement!$I:$I,statement!$K:$K,ANALISA!$AA9, statement!$B:$B,ANALISA!J$4)</f>
        <v>0</v>
      </c>
      <c r="K9" s="54">
        <f>SUMIFS(statement!$I:$I,statement!$K:$K,ANALISA!$AA9, statement!$B:$B,ANALISA!K$4)</f>
        <v>0</v>
      </c>
      <c r="L9" s="54">
        <f t="shared" si="2"/>
        <v>0</v>
      </c>
      <c r="M9" s="54">
        <f>SUMIFS(statement!$I:$I,statement!$K:$K,ANALISA!$AA9, statement!$B:$B,ANALISA!M$4)</f>
        <v>0</v>
      </c>
      <c r="N9" s="54">
        <f>SUMIFS(statement!$I:$I,statement!$K:$K,ANALISA!$AA9, statement!$B:$B,ANALISA!N$4)</f>
        <v>0</v>
      </c>
      <c r="O9" s="54">
        <f>SUMIFS(statement!$I:$I,statement!$K:$K,ANALISA!$AA9, statement!$B:$B,ANALISA!O$4)</f>
        <v>0</v>
      </c>
      <c r="P9" s="54">
        <f>SUMIFS(statement!$I:$I,statement!$K:$K,ANALISA!$AA9, statement!$B:$B,ANALISA!P$4)</f>
        <v>0</v>
      </c>
      <c r="Q9" s="54">
        <f>SUMIFS(statement!$I:$I,statement!$K:$K,ANALISA!$AA9, statement!$B:$B,ANALISA!Q$4)</f>
        <v>0</v>
      </c>
      <c r="R9" s="54">
        <f>SUMIF(statement!$K:$K,ANALISA!AA9,statement!$J:$J)</f>
        <v>0</v>
      </c>
      <c r="S9" s="55">
        <f t="shared" si="3"/>
        <v>0</v>
      </c>
      <c r="T9" s="56">
        <f>IFERROR(VLOOKUP(S9,RK!$D$1:$E$65536,1,FALSE),0)</f>
        <v>0</v>
      </c>
      <c r="U9" s="57" t="e">
        <f>VLOOKUP(T9,RK!$D$1:$E$65536,2,FALSE)</f>
        <v>#N/A</v>
      </c>
      <c r="V9" s="58"/>
      <c r="W9" s="59" t="e">
        <f>VLOOKUP(V9,RK!$D$1:$E$65536,2,FALSE)</f>
        <v>#N/A</v>
      </c>
      <c r="X9" s="60">
        <f t="shared" ref="X9:X38" si="6">P9-S9+T9-V9</f>
        <v>0</v>
      </c>
      <c r="Y9" s="55">
        <v>0</v>
      </c>
      <c r="Z9" s="55">
        <f t="shared" ref="Z9:Z41" si="7">Z8+S8-Y9</f>
        <v>0</v>
      </c>
      <c r="AA9" s="61">
        <v>2</v>
      </c>
      <c r="AC9" s="40">
        <f t="shared" si="4"/>
        <v>0</v>
      </c>
      <c r="AD9" s="63" t="str">
        <f>IFERROR(VLOOKUP(AB9,BDEPO!$A:$K,11,FALSE),"-")</f>
        <v>-</v>
      </c>
      <c r="AE9" s="6" t="str">
        <f t="shared" si="5"/>
        <v>DEPOSITED</v>
      </c>
      <c r="AF9" s="54">
        <f>SUMIFS(statement!$I:$I,statement!$K:$K,ANALISA!$AA9, statement!$B:$B,ANALISA!AF$4)</f>
        <v>0</v>
      </c>
      <c r="AG9" s="54">
        <f>SUMIFS(statement!$I:$I,statement!$K:$K,ANALISA!$AA9, statement!$B:$B,ANALISA!AG$4)</f>
        <v>0</v>
      </c>
      <c r="AH9" s="54">
        <f>SUMIFS(statement!$I:$I,statement!$K:$K,ANALISA!$AA9, statement!$B:$B,ANALISA!AH$4)</f>
        <v>0</v>
      </c>
      <c r="AI9" s="54">
        <f>SUMIFS(statement!$I:$I,statement!$K:$K,ANALISA!$AA9, statement!$B:$B,ANALISA!AI$4)</f>
        <v>0</v>
      </c>
      <c r="AJ9" s="54">
        <f>SUMIFS(statement!$I:$I,statement!$K:$K,ANALISA!$AA9, statement!$B:$B,ANALISA!AJ$4)</f>
        <v>0</v>
      </c>
      <c r="AK9" s="54">
        <f>SUMIFS(statement!$I:$I,statement!$K:$K,ANALISA!$AA9, statement!$B:$B,ANALISA!AK$4)</f>
        <v>0</v>
      </c>
      <c r="AL9" s="54">
        <f>SUMIFS(statement!$I:$I,statement!$K:$K,ANALISA!$AA9, statement!$B:$B,ANALISA!AL$4)</f>
        <v>0</v>
      </c>
      <c r="AM9" s="54">
        <f>SUMIFS(statement!$I:$I,statement!$K:$K,ANALISA!$AA9, statement!$B:$B,ANALISA!AM$4)</f>
        <v>0</v>
      </c>
      <c r="AN9" s="54">
        <f>SUMIFS(statement!$I:$I,statement!$K:$K,ANALISA!$AA9, statement!$B:$B,ANALISA!AN$4)</f>
        <v>0</v>
      </c>
      <c r="AO9" s="54">
        <f>SUMIFS(statement!$I:$I,statement!$K:$K,ANALISA!$AA9, statement!$B:$B,ANALISA!AO$4)</f>
        <v>0</v>
      </c>
      <c r="AP9" s="54">
        <f>SUMIFS(statement!$I:$I,statement!$K:$K,ANALISA!$AA9, statement!$B:$B,ANALISA!AP$4)</f>
        <v>0</v>
      </c>
      <c r="AQ9" s="54">
        <f>SUMIFS(statement!$I:$I,statement!$K:$K,ANALISA!$AA9, statement!$B:$B,ANALISA!AQ$4)</f>
        <v>0</v>
      </c>
      <c r="AR9" s="54">
        <f>SUMIFS(statement!$I:$I,statement!$K:$K,ANALISA!$AA9, statement!$B:$B,ANALISA!AR$4)</f>
        <v>0</v>
      </c>
      <c r="AS9" s="54">
        <f>SUMIFS(statement!$I:$I,statement!$K:$K,ANALISA!$AA9, statement!$B:$B,ANALISA!AS$4)</f>
        <v>0</v>
      </c>
      <c r="AT9" s="54">
        <f>SUMIFS(statement!$I:$I,statement!$K:$K,ANALISA!$AA9, statement!$B:$B,ANALISA!AT$4)</f>
        <v>0</v>
      </c>
      <c r="AU9" s="54">
        <f>SUMIFS(statement!$I:$I,statement!$K:$K,ANALISA!$AA9, statement!$B:$B,ANALISA!AU$4)</f>
        <v>0</v>
      </c>
      <c r="AV9" s="54">
        <f>SUMIFS(statement!$I:$I,statement!$K:$K,ANALISA!$AA9, statement!$B:$B,ANALISA!AV$4)</f>
        <v>0</v>
      </c>
      <c r="AW9" s="54">
        <f>SUMIFS(statement!$I:$I,statement!$K:$K,ANALISA!$AA9, statement!$B:$B,ANALISA!AW$4)</f>
        <v>0</v>
      </c>
      <c r="AX9" s="54">
        <f>SUMIFS(statement!$I:$I,statement!$K:$K,ANALISA!$AA9, statement!$B:$B,ANALISA!AX$4)</f>
        <v>0</v>
      </c>
    </row>
    <row r="10" spans="1:50" ht="15.6" customHeight="1" x14ac:dyDescent="0.3">
      <c r="A10" s="52">
        <f t="shared" si="0"/>
        <v>46268</v>
      </c>
      <c r="B10" s="9" t="str">
        <f t="shared" si="1"/>
        <v>03-Sep-2026 Thursday</v>
      </c>
      <c r="C10" s="53">
        <v>46268</v>
      </c>
      <c r="D10" s="54">
        <f>SUMIF(statement!$K:$K,ANALISA!AA10,statement!$F:$F)</f>
        <v>0</v>
      </c>
      <c r="E10" s="54">
        <f>SUMIFS(statement!$I:$I,statement!$K:$K,ANALISA!$AA10, statement!$B:$B,ANALISA!E$4)</f>
        <v>0</v>
      </c>
      <c r="F10" s="54">
        <f>SUMIFS(statement!$H:$H,statement!$K:$K,ANALISA!$AA10, statement!$B:$B,ANALISA!F$4)</f>
        <v>0</v>
      </c>
      <c r="G10" s="54">
        <f>SUMIFS(statement!$I:$I,statement!$K:$K,ANALISA!$AA10, statement!$B:$B,ANALISA!G$4)</f>
        <v>0</v>
      </c>
      <c r="H10" s="54">
        <f>SUMIFS(statement!$I:$I,statement!$K:$K,ANALISA!$AA10, statement!$B:$B,ANALISA!H$4)</f>
        <v>0</v>
      </c>
      <c r="I10" s="54">
        <f>SUMIFS(statement!$I:$I,statement!$K:$K,ANALISA!$AA10, statement!$B:$B,ANALISA!I$4)</f>
        <v>0</v>
      </c>
      <c r="J10" s="54">
        <f>SUMIFS(statement!$I:$I,statement!$K:$K,ANALISA!$AA10, statement!$B:$B,ANALISA!J$4)</f>
        <v>0</v>
      </c>
      <c r="K10" s="54">
        <f>SUMIFS(statement!$I:$I,statement!$K:$K,ANALISA!$AA10, statement!$B:$B,ANALISA!K$4)</f>
        <v>0</v>
      </c>
      <c r="L10" s="54">
        <f t="shared" si="2"/>
        <v>0</v>
      </c>
      <c r="M10" s="54">
        <f>SUMIFS(statement!$I:$I,statement!$K:$K,ANALISA!$AA10, statement!$B:$B,ANALISA!M$4)</f>
        <v>0</v>
      </c>
      <c r="N10" s="54">
        <f>SUMIFS(statement!$I:$I,statement!$K:$K,ANALISA!$AA10, statement!$B:$B,ANALISA!N$4)</f>
        <v>0</v>
      </c>
      <c r="O10" s="54">
        <f>SUMIFS(statement!$I:$I,statement!$K:$K,ANALISA!$AA10, statement!$B:$B,ANALISA!O$4)</f>
        <v>0</v>
      </c>
      <c r="P10" s="54">
        <f>SUMIFS(statement!$I:$I,statement!$K:$K,ANALISA!$AA10, statement!$B:$B,ANALISA!P$4)</f>
        <v>0</v>
      </c>
      <c r="Q10" s="54">
        <f>SUMIFS(statement!$I:$I,statement!$K:$K,ANALISA!$AA10, statement!$B:$B,ANALISA!Q$4)</f>
        <v>0</v>
      </c>
      <c r="R10" s="54">
        <f>SUMIF(statement!$K:$K,ANALISA!AA10,statement!$J:$J)</f>
        <v>0</v>
      </c>
      <c r="S10" s="55">
        <f t="shared" si="3"/>
        <v>0</v>
      </c>
      <c r="T10" s="56">
        <f>IFERROR(VLOOKUP(S10,RK!$D$1:$E$65536,1,FALSE),0)</f>
        <v>0</v>
      </c>
      <c r="U10" s="57" t="e">
        <f>VLOOKUP(T10,RK!$D$1:$E$65536,2,FALSE)</f>
        <v>#N/A</v>
      </c>
      <c r="V10" s="58"/>
      <c r="W10" s="59" t="e">
        <f>VLOOKUP(V10,RK!$D$1:$E$65536,2,FALSE)</f>
        <v>#N/A</v>
      </c>
      <c r="X10" s="60">
        <f t="shared" si="6"/>
        <v>0</v>
      </c>
      <c r="Y10" s="55">
        <v>0</v>
      </c>
      <c r="Z10" s="55">
        <f t="shared" si="7"/>
        <v>0</v>
      </c>
      <c r="AA10" s="61">
        <v>3</v>
      </c>
      <c r="AC10" s="40">
        <f t="shared" si="4"/>
        <v>0</v>
      </c>
      <c r="AD10" s="63" t="str">
        <f>IFERROR(VLOOKUP(AB10,BDEPO!$A:$K,11,FALSE),"-")</f>
        <v>-</v>
      </c>
      <c r="AE10" s="6" t="str">
        <f t="shared" si="5"/>
        <v>DEPOSITED</v>
      </c>
      <c r="AF10" s="54">
        <f>SUMIFS(statement!$I:$I,statement!$K:$K,ANALISA!$AA10, statement!$B:$B,ANALISA!AF$4)</f>
        <v>0</v>
      </c>
      <c r="AG10" s="54">
        <f>SUMIFS(statement!$I:$I,statement!$K:$K,ANALISA!$AA10, statement!$B:$B,ANALISA!AG$4)</f>
        <v>0</v>
      </c>
      <c r="AH10" s="54">
        <f>SUMIFS(statement!$I:$I,statement!$K:$K,ANALISA!$AA10, statement!$B:$B,ANALISA!AH$4)</f>
        <v>0</v>
      </c>
      <c r="AI10" s="54">
        <f>SUMIFS(statement!$I:$I,statement!$K:$K,ANALISA!$AA10, statement!$B:$B,ANALISA!AI$4)</f>
        <v>0</v>
      </c>
      <c r="AJ10" s="54">
        <f>SUMIFS(statement!$I:$I,statement!$K:$K,ANALISA!$AA10, statement!$B:$B,ANALISA!AJ$4)</f>
        <v>0</v>
      </c>
      <c r="AK10" s="54">
        <f>SUMIFS(statement!$I:$I,statement!$K:$K,ANALISA!$AA10, statement!$B:$B,ANALISA!AK$4)</f>
        <v>0</v>
      </c>
      <c r="AL10" s="54">
        <f>SUMIFS(statement!$I:$I,statement!$K:$K,ANALISA!$AA10, statement!$B:$B,ANALISA!AL$4)</f>
        <v>0</v>
      </c>
      <c r="AM10" s="54">
        <f>SUMIFS(statement!$I:$I,statement!$K:$K,ANALISA!$AA10, statement!$B:$B,ANALISA!AM$4)</f>
        <v>0</v>
      </c>
      <c r="AN10" s="54">
        <f>SUMIFS(statement!$I:$I,statement!$K:$K,ANALISA!$AA10, statement!$B:$B,ANALISA!AN$4)</f>
        <v>0</v>
      </c>
      <c r="AO10" s="54">
        <f>SUMIFS(statement!$I:$I,statement!$K:$K,ANALISA!$AA10, statement!$B:$B,ANALISA!AO$4)</f>
        <v>0</v>
      </c>
      <c r="AP10" s="54">
        <f>SUMIFS(statement!$I:$I,statement!$K:$K,ANALISA!$AA10, statement!$B:$B,ANALISA!AP$4)</f>
        <v>0</v>
      </c>
      <c r="AQ10" s="54">
        <f>SUMIFS(statement!$I:$I,statement!$K:$K,ANALISA!$AA10, statement!$B:$B,ANALISA!AQ$4)</f>
        <v>0</v>
      </c>
      <c r="AR10" s="54">
        <f>SUMIFS(statement!$I:$I,statement!$K:$K,ANALISA!$AA10, statement!$B:$B,ANALISA!AR$4)</f>
        <v>0</v>
      </c>
      <c r="AS10" s="54">
        <f>SUMIFS(statement!$I:$I,statement!$K:$K,ANALISA!$AA10, statement!$B:$B,ANALISA!AS$4)</f>
        <v>0</v>
      </c>
      <c r="AT10" s="54">
        <f>SUMIFS(statement!$I:$I,statement!$K:$K,ANALISA!$AA10, statement!$B:$B,ANALISA!AT$4)</f>
        <v>0</v>
      </c>
      <c r="AU10" s="54">
        <f>SUMIFS(statement!$I:$I,statement!$K:$K,ANALISA!$AA10, statement!$B:$B,ANALISA!AU$4)</f>
        <v>0</v>
      </c>
      <c r="AV10" s="54">
        <f>SUMIFS(statement!$I:$I,statement!$K:$K,ANALISA!$AA10, statement!$B:$B,ANALISA!AV$4)</f>
        <v>0</v>
      </c>
      <c r="AW10" s="54">
        <f>SUMIFS(statement!$I:$I,statement!$K:$K,ANALISA!$AA10, statement!$B:$B,ANALISA!AW$4)</f>
        <v>0</v>
      </c>
      <c r="AX10" s="54">
        <f>SUMIFS(statement!$I:$I,statement!$K:$K,ANALISA!$AA10, statement!$B:$B,ANALISA!AX$4)</f>
        <v>0</v>
      </c>
    </row>
    <row r="11" spans="1:50" ht="15.6" customHeight="1" x14ac:dyDescent="0.3">
      <c r="A11" s="52">
        <f t="shared" si="0"/>
        <v>46269</v>
      </c>
      <c r="B11" s="9" t="str">
        <f t="shared" si="1"/>
        <v>04-Sep-2026 Friday</v>
      </c>
      <c r="C11" s="53">
        <v>46269</v>
      </c>
      <c r="D11" s="54">
        <f>SUMIF(statement!$K:$K,ANALISA!AA11,statement!$F:$F)</f>
        <v>0</v>
      </c>
      <c r="E11" s="54">
        <f>SUMIFS(statement!$I:$I,statement!$K:$K,ANALISA!$AA11, statement!$B:$B,ANALISA!E$4)</f>
        <v>0</v>
      </c>
      <c r="F11" s="54">
        <f>SUMIFS(statement!$H:$H,statement!$K:$K,ANALISA!$AA11, statement!$B:$B,ANALISA!F$4)</f>
        <v>0</v>
      </c>
      <c r="G11" s="54">
        <f>SUMIFS(statement!$I:$I,statement!$K:$K,ANALISA!$AA11, statement!$B:$B,ANALISA!G$4)</f>
        <v>0</v>
      </c>
      <c r="H11" s="54">
        <f>SUMIFS(statement!$I:$I,statement!$K:$K,ANALISA!$AA11, statement!$B:$B,ANALISA!H$4)</f>
        <v>0</v>
      </c>
      <c r="I11" s="54">
        <f>SUMIFS(statement!$I:$I,statement!$K:$K,ANALISA!$AA11, statement!$B:$B,ANALISA!I$4)</f>
        <v>0</v>
      </c>
      <c r="J11" s="54">
        <f>SUMIFS(statement!$I:$I,statement!$K:$K,ANALISA!$AA11, statement!$B:$B,ANALISA!J$4)</f>
        <v>0</v>
      </c>
      <c r="K11" s="54">
        <f>SUMIFS(statement!$I:$I,statement!$K:$K,ANALISA!$AA11, statement!$B:$B,ANALISA!K$4)</f>
        <v>0</v>
      </c>
      <c r="L11" s="54">
        <f t="shared" si="2"/>
        <v>0</v>
      </c>
      <c r="M11" s="54">
        <f>SUMIFS(statement!$I:$I,statement!$K:$K,ANALISA!$AA11, statement!$B:$B,ANALISA!M$4)</f>
        <v>0</v>
      </c>
      <c r="N11" s="54">
        <f>SUMIFS(statement!$I:$I,statement!$K:$K,ANALISA!$AA11, statement!$B:$B,ANALISA!N$4)</f>
        <v>0</v>
      </c>
      <c r="O11" s="54">
        <f>SUMIFS(statement!$I:$I,statement!$K:$K,ANALISA!$AA11, statement!$B:$B,ANALISA!O$4)</f>
        <v>0</v>
      </c>
      <c r="P11" s="54">
        <f>SUMIFS(statement!$I:$I,statement!$K:$K,ANALISA!$AA11, statement!$B:$B,ANALISA!P$4)</f>
        <v>0</v>
      </c>
      <c r="Q11" s="54">
        <f>SUMIFS(statement!$I:$I,statement!$K:$K,ANALISA!$AA11, statement!$B:$B,ANALISA!Q$4)</f>
        <v>0</v>
      </c>
      <c r="R11" s="54">
        <f>SUMIF(statement!$K:$K,ANALISA!AA11,statement!$J:$J)</f>
        <v>0</v>
      </c>
      <c r="S11" s="55">
        <f t="shared" si="3"/>
        <v>0</v>
      </c>
      <c r="T11" s="56">
        <f>IFERROR(VLOOKUP(S11,RK!$D$1:$E$65536,1,FALSE),0)</f>
        <v>0</v>
      </c>
      <c r="U11" s="57" t="e">
        <f>VLOOKUP(T11,RK!$D$1:$E$65536,2,FALSE)</f>
        <v>#N/A</v>
      </c>
      <c r="V11" s="58"/>
      <c r="W11" s="59" t="e">
        <f>VLOOKUP(V11,RK!$D$1:$E$65536,2,FALSE)</f>
        <v>#N/A</v>
      </c>
      <c r="X11" s="60">
        <f t="shared" si="6"/>
        <v>0</v>
      </c>
      <c r="Y11" s="55">
        <v>0</v>
      </c>
      <c r="Z11" s="55">
        <f t="shared" si="7"/>
        <v>0</v>
      </c>
      <c r="AA11" s="61">
        <v>4</v>
      </c>
      <c r="AC11" s="40">
        <f t="shared" si="4"/>
        <v>0</v>
      </c>
      <c r="AD11" s="63" t="str">
        <f>IFERROR(VLOOKUP(AB11,BDEPO!$A:$K,11,FALSE),"-")</f>
        <v>-</v>
      </c>
      <c r="AE11" s="6" t="str">
        <f t="shared" si="5"/>
        <v>DEPOSITED</v>
      </c>
      <c r="AF11" s="54">
        <f>SUMIFS(statement!$I:$I,statement!$K:$K,ANALISA!$AA11, statement!$B:$B,ANALISA!AF$4)</f>
        <v>0</v>
      </c>
      <c r="AG11" s="54">
        <f>SUMIFS(statement!$I:$I,statement!$K:$K,ANALISA!$AA11, statement!$B:$B,ANALISA!AG$4)</f>
        <v>0</v>
      </c>
      <c r="AH11" s="54">
        <f>SUMIFS(statement!$I:$I,statement!$K:$K,ANALISA!$AA11, statement!$B:$B,ANALISA!AH$4)</f>
        <v>0</v>
      </c>
      <c r="AI11" s="54">
        <f>SUMIFS(statement!$I:$I,statement!$K:$K,ANALISA!$AA11, statement!$B:$B,ANALISA!AI$4)</f>
        <v>0</v>
      </c>
      <c r="AJ11" s="54">
        <f>SUMIFS(statement!$I:$I,statement!$K:$K,ANALISA!$AA11, statement!$B:$B,ANALISA!AJ$4)</f>
        <v>0</v>
      </c>
      <c r="AK11" s="54">
        <f>SUMIFS(statement!$I:$I,statement!$K:$K,ANALISA!$AA11, statement!$B:$B,ANALISA!AK$4)</f>
        <v>0</v>
      </c>
      <c r="AL11" s="54">
        <f>SUMIFS(statement!$I:$I,statement!$K:$K,ANALISA!$AA11, statement!$B:$B,ANALISA!AL$4)</f>
        <v>0</v>
      </c>
      <c r="AM11" s="54">
        <f>SUMIFS(statement!$I:$I,statement!$K:$K,ANALISA!$AA11, statement!$B:$B,ANALISA!AM$4)</f>
        <v>0</v>
      </c>
      <c r="AN11" s="54">
        <f>SUMIFS(statement!$I:$I,statement!$K:$K,ANALISA!$AA11, statement!$B:$B,ANALISA!AN$4)</f>
        <v>0</v>
      </c>
      <c r="AO11" s="54">
        <f>SUMIFS(statement!$I:$I,statement!$K:$K,ANALISA!$AA11, statement!$B:$B,ANALISA!AO$4)</f>
        <v>0</v>
      </c>
      <c r="AP11" s="54">
        <f>SUMIFS(statement!$I:$I,statement!$K:$K,ANALISA!$AA11, statement!$B:$B,ANALISA!AP$4)</f>
        <v>0</v>
      </c>
      <c r="AQ11" s="54">
        <f>SUMIFS(statement!$I:$I,statement!$K:$K,ANALISA!$AA11, statement!$B:$B,ANALISA!AQ$4)</f>
        <v>0</v>
      </c>
      <c r="AR11" s="54">
        <f>SUMIFS(statement!$I:$I,statement!$K:$K,ANALISA!$AA11, statement!$B:$B,ANALISA!AR$4)</f>
        <v>0</v>
      </c>
      <c r="AS11" s="54">
        <f>SUMIFS(statement!$I:$I,statement!$K:$K,ANALISA!$AA11, statement!$B:$B,ANALISA!AS$4)</f>
        <v>0</v>
      </c>
      <c r="AT11" s="54">
        <f>SUMIFS(statement!$I:$I,statement!$K:$K,ANALISA!$AA11, statement!$B:$B,ANALISA!AT$4)</f>
        <v>0</v>
      </c>
      <c r="AU11" s="54">
        <f>SUMIFS(statement!$I:$I,statement!$K:$K,ANALISA!$AA11, statement!$B:$B,ANALISA!AU$4)</f>
        <v>0</v>
      </c>
      <c r="AV11" s="54">
        <f>SUMIFS(statement!$I:$I,statement!$K:$K,ANALISA!$AA11, statement!$B:$B,ANALISA!AV$4)</f>
        <v>0</v>
      </c>
      <c r="AW11" s="54">
        <f>SUMIFS(statement!$I:$I,statement!$K:$K,ANALISA!$AA11, statement!$B:$B,ANALISA!AW$4)</f>
        <v>0</v>
      </c>
      <c r="AX11" s="54">
        <f>SUMIFS(statement!$I:$I,statement!$K:$K,ANALISA!$AA11, statement!$B:$B,ANALISA!AX$4)</f>
        <v>0</v>
      </c>
    </row>
    <row r="12" spans="1:50" ht="15.6" customHeight="1" x14ac:dyDescent="0.3">
      <c r="A12" s="52">
        <f t="shared" si="0"/>
        <v>46270</v>
      </c>
      <c r="B12" s="9" t="str">
        <f t="shared" si="1"/>
        <v>05-Sep-2026 Saturday</v>
      </c>
      <c r="C12" s="53">
        <v>46270</v>
      </c>
      <c r="D12" s="54">
        <f>SUMIF(statement!$K:$K,ANALISA!AA12,statement!$F:$F)</f>
        <v>0</v>
      </c>
      <c r="E12" s="54">
        <f>SUMIFS(statement!$I:$I,statement!$K:$K,ANALISA!$AA12, statement!$B:$B,ANALISA!E$4)</f>
        <v>0</v>
      </c>
      <c r="F12" s="54">
        <f>SUMIFS(statement!$H:$H,statement!$K:$K,ANALISA!$AA12, statement!$B:$B,ANALISA!F$4)</f>
        <v>0</v>
      </c>
      <c r="G12" s="54">
        <f>SUMIFS(statement!$I:$I,statement!$K:$K,ANALISA!$AA12, statement!$B:$B,ANALISA!G$4)</f>
        <v>0</v>
      </c>
      <c r="H12" s="54">
        <f>SUMIFS(statement!$I:$I,statement!$K:$K,ANALISA!$AA12, statement!$B:$B,ANALISA!H$4)</f>
        <v>0</v>
      </c>
      <c r="I12" s="54">
        <f>SUMIFS(statement!$I:$I,statement!$K:$K,ANALISA!$AA12, statement!$B:$B,ANALISA!I$4)</f>
        <v>0</v>
      </c>
      <c r="J12" s="54">
        <f>SUMIFS(statement!$I:$I,statement!$K:$K,ANALISA!$AA12, statement!$B:$B,ANALISA!J$4)</f>
        <v>0</v>
      </c>
      <c r="K12" s="54">
        <f>SUMIFS(statement!$I:$I,statement!$K:$K,ANALISA!$AA12, statement!$B:$B,ANALISA!K$4)</f>
        <v>0</v>
      </c>
      <c r="L12" s="54">
        <f t="shared" si="2"/>
        <v>0</v>
      </c>
      <c r="M12" s="54">
        <f>SUMIFS(statement!$I:$I,statement!$K:$K,ANALISA!$AA12, statement!$B:$B,ANALISA!M$4)</f>
        <v>0</v>
      </c>
      <c r="N12" s="54">
        <f>SUMIFS(statement!$I:$I,statement!$K:$K,ANALISA!$AA12, statement!$B:$B,ANALISA!N$4)</f>
        <v>0</v>
      </c>
      <c r="O12" s="54">
        <f>SUMIFS(statement!$I:$I,statement!$K:$K,ANALISA!$AA12, statement!$B:$B,ANALISA!O$4)</f>
        <v>0</v>
      </c>
      <c r="P12" s="54">
        <f>SUMIFS(statement!$I:$I,statement!$K:$K,ANALISA!$AA12, statement!$B:$B,ANALISA!P$4)</f>
        <v>0</v>
      </c>
      <c r="Q12" s="54">
        <f>SUMIFS(statement!$I:$I,statement!$K:$K,ANALISA!$AA12, statement!$B:$B,ANALISA!Q$4)</f>
        <v>0</v>
      </c>
      <c r="R12" s="54">
        <f>SUMIF(statement!$K:$K,ANALISA!AA12,statement!$J:$J)</f>
        <v>0</v>
      </c>
      <c r="S12" s="55">
        <f t="shared" si="3"/>
        <v>0</v>
      </c>
      <c r="T12" s="56">
        <f>IFERROR(VLOOKUP(S12,RK!$D$1:$E$65536,1,FALSE),0)</f>
        <v>0</v>
      </c>
      <c r="U12" s="57" t="e">
        <f>VLOOKUP(T12,RK!$D$1:$E$65536,2,FALSE)</f>
        <v>#N/A</v>
      </c>
      <c r="V12" s="58"/>
      <c r="W12" s="59" t="e">
        <f>VLOOKUP(V12,RK!$D$1:$E$65536,2,FALSE)</f>
        <v>#N/A</v>
      </c>
      <c r="X12" s="60">
        <f t="shared" si="6"/>
        <v>0</v>
      </c>
      <c r="Y12" s="55">
        <v>0</v>
      </c>
      <c r="Z12" s="55">
        <f t="shared" si="7"/>
        <v>0</v>
      </c>
      <c r="AA12" s="61">
        <v>5</v>
      </c>
      <c r="AC12" s="40">
        <f t="shared" si="4"/>
        <v>0</v>
      </c>
      <c r="AD12" s="63" t="str">
        <f>IFERROR(VLOOKUP(AB12,BDEPO!$A:$K,11,FALSE),"-")</f>
        <v>-</v>
      </c>
      <c r="AE12" s="6" t="str">
        <f t="shared" si="5"/>
        <v>DEPOSITED</v>
      </c>
      <c r="AF12" s="54">
        <f>SUMIFS(statement!$I:$I,statement!$K:$K,ANALISA!$AA12, statement!$B:$B,ANALISA!AF$4)</f>
        <v>0</v>
      </c>
      <c r="AG12" s="54">
        <f>SUMIFS(statement!$I:$I,statement!$K:$K,ANALISA!$AA12, statement!$B:$B,ANALISA!AG$4)</f>
        <v>0</v>
      </c>
      <c r="AH12" s="54">
        <f>SUMIFS(statement!$I:$I,statement!$K:$K,ANALISA!$AA12, statement!$B:$B,ANALISA!AH$4)</f>
        <v>0</v>
      </c>
      <c r="AI12" s="54">
        <f>SUMIFS(statement!$I:$I,statement!$K:$K,ANALISA!$AA12, statement!$B:$B,ANALISA!AI$4)</f>
        <v>0</v>
      </c>
      <c r="AJ12" s="54">
        <f>SUMIFS(statement!$I:$I,statement!$K:$K,ANALISA!$AA12, statement!$B:$B,ANALISA!AJ$4)</f>
        <v>0</v>
      </c>
      <c r="AK12" s="54">
        <f>SUMIFS(statement!$I:$I,statement!$K:$K,ANALISA!$AA12, statement!$B:$B,ANALISA!AK$4)</f>
        <v>0</v>
      </c>
      <c r="AL12" s="54">
        <f>SUMIFS(statement!$I:$I,statement!$K:$K,ANALISA!$AA12, statement!$B:$B,ANALISA!AL$4)</f>
        <v>0</v>
      </c>
      <c r="AM12" s="54">
        <f>SUMIFS(statement!$I:$I,statement!$K:$K,ANALISA!$AA12, statement!$B:$B,ANALISA!AM$4)</f>
        <v>0</v>
      </c>
      <c r="AN12" s="54">
        <f>SUMIFS(statement!$I:$I,statement!$K:$K,ANALISA!$AA12, statement!$B:$B,ANALISA!AN$4)</f>
        <v>0</v>
      </c>
      <c r="AO12" s="54">
        <f>SUMIFS(statement!$I:$I,statement!$K:$K,ANALISA!$AA12, statement!$B:$B,ANALISA!AO$4)</f>
        <v>0</v>
      </c>
      <c r="AP12" s="54">
        <f>SUMIFS(statement!$I:$I,statement!$K:$K,ANALISA!$AA12, statement!$B:$B,ANALISA!AP$4)</f>
        <v>0</v>
      </c>
      <c r="AQ12" s="54">
        <f>SUMIFS(statement!$I:$I,statement!$K:$K,ANALISA!$AA12, statement!$B:$B,ANALISA!AQ$4)</f>
        <v>0</v>
      </c>
      <c r="AR12" s="54">
        <f>SUMIFS(statement!$I:$I,statement!$K:$K,ANALISA!$AA12, statement!$B:$B,ANALISA!AR$4)</f>
        <v>0</v>
      </c>
      <c r="AS12" s="54">
        <f>SUMIFS(statement!$I:$I,statement!$K:$K,ANALISA!$AA12, statement!$B:$B,ANALISA!AS$4)</f>
        <v>0</v>
      </c>
      <c r="AT12" s="54">
        <f>SUMIFS(statement!$I:$I,statement!$K:$K,ANALISA!$AA12, statement!$B:$B,ANALISA!AT$4)</f>
        <v>0</v>
      </c>
      <c r="AU12" s="54">
        <f>SUMIFS(statement!$I:$I,statement!$K:$K,ANALISA!$AA12, statement!$B:$B,ANALISA!AU$4)</f>
        <v>0</v>
      </c>
      <c r="AV12" s="54">
        <f>SUMIFS(statement!$I:$I,statement!$K:$K,ANALISA!$AA12, statement!$B:$B,ANALISA!AV$4)</f>
        <v>0</v>
      </c>
      <c r="AW12" s="54">
        <f>SUMIFS(statement!$I:$I,statement!$K:$K,ANALISA!$AA12, statement!$B:$B,ANALISA!AW$4)</f>
        <v>0</v>
      </c>
      <c r="AX12" s="54">
        <f>SUMIFS(statement!$I:$I,statement!$K:$K,ANALISA!$AA12, statement!$B:$B,ANALISA!AX$4)</f>
        <v>0</v>
      </c>
    </row>
    <row r="13" spans="1:50" ht="15.6" customHeight="1" x14ac:dyDescent="0.3">
      <c r="A13" s="52">
        <f t="shared" si="0"/>
        <v>46271</v>
      </c>
      <c r="B13" s="9" t="str">
        <f t="shared" si="1"/>
        <v>06-Sep-2026 Sunday</v>
      </c>
      <c r="C13" s="53">
        <v>46271</v>
      </c>
      <c r="D13" s="54">
        <f>SUMIF(statement!$K:$K,ANALISA!AA13,statement!$F:$F)</f>
        <v>0</v>
      </c>
      <c r="E13" s="54">
        <f>SUMIFS(statement!$I:$I,statement!$K:$K,ANALISA!$AA13, statement!$B:$B,ANALISA!E$4)</f>
        <v>0</v>
      </c>
      <c r="F13" s="54">
        <f>SUMIFS(statement!$H:$H,statement!$K:$K,ANALISA!$AA13, statement!$B:$B,ANALISA!F$4)</f>
        <v>0</v>
      </c>
      <c r="G13" s="54">
        <f>SUMIFS(statement!$I:$I,statement!$K:$K,ANALISA!$AA13, statement!$B:$B,ANALISA!G$4)</f>
        <v>0</v>
      </c>
      <c r="H13" s="54">
        <f>SUMIFS(statement!$I:$I,statement!$K:$K,ANALISA!$AA13, statement!$B:$B,ANALISA!H$4)</f>
        <v>0</v>
      </c>
      <c r="I13" s="54">
        <f>SUMIFS(statement!$I:$I,statement!$K:$K,ANALISA!$AA13, statement!$B:$B,ANALISA!I$4)</f>
        <v>0</v>
      </c>
      <c r="J13" s="54">
        <f>SUMIFS(statement!$I:$I,statement!$K:$K,ANALISA!$AA13, statement!$B:$B,ANALISA!J$4)</f>
        <v>0</v>
      </c>
      <c r="K13" s="54">
        <f>SUMIFS(statement!$I:$I,statement!$K:$K,ANALISA!$AA13, statement!$B:$B,ANALISA!K$4)</f>
        <v>0</v>
      </c>
      <c r="L13" s="54">
        <f t="shared" si="2"/>
        <v>0</v>
      </c>
      <c r="M13" s="54">
        <f>SUMIFS(statement!$I:$I,statement!$K:$K,ANALISA!$AA13, statement!$B:$B,ANALISA!M$4)</f>
        <v>0</v>
      </c>
      <c r="N13" s="54">
        <f>SUMIFS(statement!$I:$I,statement!$K:$K,ANALISA!$AA13, statement!$B:$B,ANALISA!N$4)</f>
        <v>0</v>
      </c>
      <c r="O13" s="54">
        <f>SUMIFS(statement!$I:$I,statement!$K:$K,ANALISA!$AA13, statement!$B:$B,ANALISA!O$4)</f>
        <v>0</v>
      </c>
      <c r="P13" s="54">
        <f>SUMIFS(statement!$I:$I,statement!$K:$K,ANALISA!$AA13, statement!$B:$B,ANALISA!P$4)</f>
        <v>0</v>
      </c>
      <c r="Q13" s="54">
        <f>SUMIFS(statement!$I:$I,statement!$K:$K,ANALISA!$AA13, statement!$B:$B,ANALISA!Q$4)</f>
        <v>0</v>
      </c>
      <c r="R13" s="54">
        <f>SUMIF(statement!$K:$K,ANALISA!AA13,statement!$J:$J)</f>
        <v>0</v>
      </c>
      <c r="S13" s="55">
        <f t="shared" si="3"/>
        <v>0</v>
      </c>
      <c r="T13" s="56">
        <f>IFERROR(VLOOKUP(S13,RK!$D$1:$E$65536,1,FALSE),0)</f>
        <v>0</v>
      </c>
      <c r="U13" s="57" t="e">
        <f>VLOOKUP(T13,RK!$D$1:$E$65536,2,FALSE)</f>
        <v>#N/A</v>
      </c>
      <c r="V13" s="58"/>
      <c r="W13" s="59" t="e">
        <f>VLOOKUP(V13,RK!$D$1:$E$65536,2,FALSE)</f>
        <v>#N/A</v>
      </c>
      <c r="X13" s="60">
        <f t="shared" si="6"/>
        <v>0</v>
      </c>
      <c r="Y13" s="55">
        <v>0</v>
      </c>
      <c r="Z13" s="55">
        <f t="shared" si="7"/>
        <v>0</v>
      </c>
      <c r="AA13" s="61">
        <v>6</v>
      </c>
      <c r="AC13" s="40">
        <f t="shared" si="4"/>
        <v>0</v>
      </c>
      <c r="AD13" s="63" t="str">
        <f>IFERROR(VLOOKUP(AB13,BDEPO!$A:$K,11,FALSE),"-")</f>
        <v>-</v>
      </c>
      <c r="AE13" s="6" t="str">
        <f t="shared" si="5"/>
        <v>DEPOSITED</v>
      </c>
      <c r="AF13" s="54">
        <f>SUMIFS(statement!$I:$I,statement!$K:$K,ANALISA!$AA13, statement!$B:$B,ANALISA!AF$4)</f>
        <v>0</v>
      </c>
      <c r="AG13" s="54">
        <f>SUMIFS(statement!$I:$I,statement!$K:$K,ANALISA!$AA13, statement!$B:$B,ANALISA!AG$4)</f>
        <v>0</v>
      </c>
      <c r="AH13" s="54">
        <f>SUMIFS(statement!$I:$I,statement!$K:$K,ANALISA!$AA13, statement!$B:$B,ANALISA!AH$4)</f>
        <v>0</v>
      </c>
      <c r="AI13" s="54">
        <f>SUMIFS(statement!$I:$I,statement!$K:$K,ANALISA!$AA13, statement!$B:$B,ANALISA!AI$4)</f>
        <v>0</v>
      </c>
      <c r="AJ13" s="54">
        <f>SUMIFS(statement!$I:$I,statement!$K:$K,ANALISA!$AA13, statement!$B:$B,ANALISA!AJ$4)</f>
        <v>0</v>
      </c>
      <c r="AK13" s="54">
        <f>SUMIFS(statement!$I:$I,statement!$K:$K,ANALISA!$AA13, statement!$B:$B,ANALISA!AK$4)</f>
        <v>0</v>
      </c>
      <c r="AL13" s="54">
        <f>SUMIFS(statement!$I:$I,statement!$K:$K,ANALISA!$AA13, statement!$B:$B,ANALISA!AL$4)</f>
        <v>0</v>
      </c>
      <c r="AM13" s="54">
        <f>SUMIFS(statement!$I:$I,statement!$K:$K,ANALISA!$AA13, statement!$B:$B,ANALISA!AM$4)</f>
        <v>0</v>
      </c>
      <c r="AN13" s="54">
        <f>SUMIFS(statement!$I:$I,statement!$K:$K,ANALISA!$AA13, statement!$B:$B,ANALISA!AN$4)</f>
        <v>0</v>
      </c>
      <c r="AO13" s="54">
        <f>SUMIFS(statement!$I:$I,statement!$K:$K,ANALISA!$AA13, statement!$B:$B,ANALISA!AO$4)</f>
        <v>0</v>
      </c>
      <c r="AP13" s="54">
        <f>SUMIFS(statement!$I:$I,statement!$K:$K,ANALISA!$AA13, statement!$B:$B,ANALISA!AP$4)</f>
        <v>0</v>
      </c>
      <c r="AQ13" s="54">
        <f>SUMIFS(statement!$I:$I,statement!$K:$K,ANALISA!$AA13, statement!$B:$B,ANALISA!AQ$4)</f>
        <v>0</v>
      </c>
      <c r="AR13" s="54">
        <f>SUMIFS(statement!$I:$I,statement!$K:$K,ANALISA!$AA13, statement!$B:$B,ANALISA!AR$4)</f>
        <v>0</v>
      </c>
      <c r="AS13" s="54">
        <f>SUMIFS(statement!$I:$I,statement!$K:$K,ANALISA!$AA13, statement!$B:$B,ANALISA!AS$4)</f>
        <v>0</v>
      </c>
      <c r="AT13" s="54">
        <f>SUMIFS(statement!$I:$I,statement!$K:$K,ANALISA!$AA13, statement!$B:$B,ANALISA!AT$4)</f>
        <v>0</v>
      </c>
      <c r="AU13" s="54">
        <f>SUMIFS(statement!$I:$I,statement!$K:$K,ANALISA!$AA13, statement!$B:$B,ANALISA!AU$4)</f>
        <v>0</v>
      </c>
      <c r="AV13" s="54">
        <f>SUMIFS(statement!$I:$I,statement!$K:$K,ANALISA!$AA13, statement!$B:$B,ANALISA!AV$4)</f>
        <v>0</v>
      </c>
      <c r="AW13" s="54">
        <f>SUMIFS(statement!$I:$I,statement!$K:$K,ANALISA!$AA13, statement!$B:$B,ANALISA!AW$4)</f>
        <v>0</v>
      </c>
      <c r="AX13" s="54">
        <f>SUMIFS(statement!$I:$I,statement!$K:$K,ANALISA!$AA13, statement!$B:$B,ANALISA!AX$4)</f>
        <v>0</v>
      </c>
    </row>
    <row r="14" spans="1:50" s="5" customFormat="1" ht="15.6" customHeight="1" x14ac:dyDescent="0.3">
      <c r="A14" s="52">
        <f t="shared" si="0"/>
        <v>46272</v>
      </c>
      <c r="B14" s="9" t="str">
        <f t="shared" si="1"/>
        <v>07-Sep-2026 Monday</v>
      </c>
      <c r="C14" s="53">
        <v>46272</v>
      </c>
      <c r="D14" s="54">
        <f>SUMIF(statement!$K:$K,ANALISA!AA14,statement!$F:$F)</f>
        <v>0</v>
      </c>
      <c r="E14" s="54">
        <f>SUMIFS(statement!$I:$I,statement!$K:$K,ANALISA!$AA14, statement!$B:$B,ANALISA!E$4)</f>
        <v>0</v>
      </c>
      <c r="F14" s="54">
        <f>SUMIFS(statement!$H:$H,statement!$K:$K,ANALISA!$AA14, statement!$B:$B,ANALISA!F$4)</f>
        <v>0</v>
      </c>
      <c r="G14" s="54">
        <f>SUMIFS(statement!$I:$I,statement!$K:$K,ANALISA!$AA14, statement!$B:$B,ANALISA!G$4)</f>
        <v>0</v>
      </c>
      <c r="H14" s="54">
        <f>SUMIFS(statement!$I:$I,statement!$K:$K,ANALISA!$AA14, statement!$B:$B,ANALISA!H$4)</f>
        <v>0</v>
      </c>
      <c r="I14" s="54">
        <f>SUMIFS(statement!$I:$I,statement!$K:$K,ANALISA!$AA14, statement!$B:$B,ANALISA!I$4)</f>
        <v>0</v>
      </c>
      <c r="J14" s="54">
        <f>SUMIFS(statement!$I:$I,statement!$K:$K,ANALISA!$AA14, statement!$B:$B,ANALISA!J$4)</f>
        <v>0</v>
      </c>
      <c r="K14" s="54">
        <f>SUMIFS(statement!$I:$I,statement!$K:$K,ANALISA!$AA14, statement!$B:$B,ANALISA!K$4)</f>
        <v>0</v>
      </c>
      <c r="L14" s="54">
        <f t="shared" si="2"/>
        <v>0</v>
      </c>
      <c r="M14" s="54">
        <f>SUMIFS(statement!$I:$I,statement!$K:$K,ANALISA!$AA14, statement!$B:$B,ANALISA!M$4)</f>
        <v>0</v>
      </c>
      <c r="N14" s="54">
        <f>SUMIFS(statement!$I:$I,statement!$K:$K,ANALISA!$AA14, statement!$B:$B,ANALISA!N$4)</f>
        <v>0</v>
      </c>
      <c r="O14" s="54">
        <f>SUMIFS(statement!$I:$I,statement!$K:$K,ANALISA!$AA14, statement!$B:$B,ANALISA!O$4)</f>
        <v>0</v>
      </c>
      <c r="P14" s="54">
        <f>SUMIFS(statement!$I:$I,statement!$K:$K,ANALISA!$AA14, statement!$B:$B,ANALISA!P$4)</f>
        <v>0</v>
      </c>
      <c r="Q14" s="54">
        <f>SUMIFS(statement!$I:$I,statement!$K:$K,ANALISA!$AA14, statement!$B:$B,ANALISA!Q$4)</f>
        <v>0</v>
      </c>
      <c r="R14" s="54">
        <f>SUMIF(statement!$K:$K,ANALISA!AA14,statement!$J:$J)</f>
        <v>0</v>
      </c>
      <c r="S14" s="55">
        <f t="shared" si="3"/>
        <v>0</v>
      </c>
      <c r="T14" s="56">
        <f>IFERROR(VLOOKUP(S14,RK!$D$1:$E$65536,1,FALSE),0)</f>
        <v>0</v>
      </c>
      <c r="U14" s="57" t="e">
        <f>VLOOKUP(T14,RK!$D$1:$E$65536,2,FALSE)</f>
        <v>#N/A</v>
      </c>
      <c r="V14" s="58"/>
      <c r="W14" s="59" t="e">
        <f>VLOOKUP(V14,RK!$D$1:$E$65536,2,FALSE)</f>
        <v>#N/A</v>
      </c>
      <c r="X14" s="60">
        <f t="shared" si="6"/>
        <v>0</v>
      </c>
      <c r="Y14" s="55">
        <v>0</v>
      </c>
      <c r="Z14" s="55">
        <f t="shared" si="7"/>
        <v>0</v>
      </c>
      <c r="AA14" s="61">
        <v>7</v>
      </c>
      <c r="AB14" s="62"/>
      <c r="AC14" s="40">
        <f t="shared" si="4"/>
        <v>0</v>
      </c>
      <c r="AD14" s="63" t="str">
        <f>IFERROR(VLOOKUP(AB14,BDEPO!$A:$K,11,FALSE),"-")</f>
        <v>-</v>
      </c>
      <c r="AE14" s="6" t="str">
        <f t="shared" si="5"/>
        <v>DEPOSITED</v>
      </c>
      <c r="AF14" s="54">
        <f>SUMIFS(statement!$I:$I,statement!$K:$K,ANALISA!$AA14, statement!$B:$B,ANALISA!AF$4)</f>
        <v>0</v>
      </c>
      <c r="AG14" s="54">
        <f>SUMIFS(statement!$I:$I,statement!$K:$K,ANALISA!$AA14, statement!$B:$B,ANALISA!AG$4)</f>
        <v>0</v>
      </c>
      <c r="AH14" s="54">
        <f>SUMIFS(statement!$I:$I,statement!$K:$K,ANALISA!$AA14, statement!$B:$B,ANALISA!AH$4)</f>
        <v>0</v>
      </c>
      <c r="AI14" s="54">
        <f>SUMIFS(statement!$I:$I,statement!$K:$K,ANALISA!$AA14, statement!$B:$B,ANALISA!AI$4)</f>
        <v>0</v>
      </c>
      <c r="AJ14" s="54">
        <f>SUMIFS(statement!$I:$I,statement!$K:$K,ANALISA!$AA14, statement!$B:$B,ANALISA!AJ$4)</f>
        <v>0</v>
      </c>
      <c r="AK14" s="54">
        <f>SUMIFS(statement!$I:$I,statement!$K:$K,ANALISA!$AA14, statement!$B:$B,ANALISA!AK$4)</f>
        <v>0</v>
      </c>
      <c r="AL14" s="54">
        <f>SUMIFS(statement!$I:$I,statement!$K:$K,ANALISA!$AA14, statement!$B:$B,ANALISA!AL$4)</f>
        <v>0</v>
      </c>
      <c r="AM14" s="54">
        <f>SUMIFS(statement!$I:$I,statement!$K:$K,ANALISA!$AA14, statement!$B:$B,ANALISA!AM$4)</f>
        <v>0</v>
      </c>
      <c r="AN14" s="54">
        <f>SUMIFS(statement!$I:$I,statement!$K:$K,ANALISA!$AA14, statement!$B:$B,ANALISA!AN$4)</f>
        <v>0</v>
      </c>
      <c r="AO14" s="54">
        <f>SUMIFS(statement!$I:$I,statement!$K:$K,ANALISA!$AA14, statement!$B:$B,ANALISA!AO$4)</f>
        <v>0</v>
      </c>
      <c r="AP14" s="54">
        <f>SUMIFS(statement!$I:$I,statement!$K:$K,ANALISA!$AA14, statement!$B:$B,ANALISA!AP$4)</f>
        <v>0</v>
      </c>
      <c r="AQ14" s="54">
        <f>SUMIFS(statement!$I:$I,statement!$K:$K,ANALISA!$AA14, statement!$B:$B,ANALISA!AQ$4)</f>
        <v>0</v>
      </c>
      <c r="AR14" s="54">
        <f>SUMIFS(statement!$I:$I,statement!$K:$K,ANALISA!$AA14, statement!$B:$B,ANALISA!AR$4)</f>
        <v>0</v>
      </c>
      <c r="AS14" s="54">
        <f>SUMIFS(statement!$I:$I,statement!$K:$K,ANALISA!$AA14, statement!$B:$B,ANALISA!AS$4)</f>
        <v>0</v>
      </c>
      <c r="AT14" s="54">
        <f>SUMIFS(statement!$I:$I,statement!$K:$K,ANALISA!$AA14, statement!$B:$B,ANALISA!AT$4)</f>
        <v>0</v>
      </c>
      <c r="AU14" s="54">
        <f>SUMIFS(statement!$I:$I,statement!$K:$K,ANALISA!$AA14, statement!$B:$B,ANALISA!AU$4)</f>
        <v>0</v>
      </c>
      <c r="AV14" s="54">
        <f>SUMIFS(statement!$I:$I,statement!$K:$K,ANALISA!$AA14, statement!$B:$B,ANALISA!AV$4)</f>
        <v>0</v>
      </c>
      <c r="AW14" s="54">
        <f>SUMIFS(statement!$I:$I,statement!$K:$K,ANALISA!$AA14, statement!$B:$B,ANALISA!AW$4)</f>
        <v>0</v>
      </c>
      <c r="AX14" s="54">
        <f>SUMIFS(statement!$I:$I,statement!$K:$K,ANALISA!$AA14, statement!$B:$B,ANALISA!AX$4)</f>
        <v>0</v>
      </c>
    </row>
    <row r="15" spans="1:50" s="5" customFormat="1" ht="15.6" customHeight="1" x14ac:dyDescent="0.3">
      <c r="A15" s="52">
        <f t="shared" si="0"/>
        <v>46273</v>
      </c>
      <c r="B15" s="9" t="str">
        <f t="shared" si="1"/>
        <v>08-Sep-2026 Tuesday</v>
      </c>
      <c r="C15" s="53">
        <v>46273</v>
      </c>
      <c r="D15" s="54">
        <f>SUMIF(statement!$K:$K,ANALISA!AA15,statement!$F:$F)</f>
        <v>0</v>
      </c>
      <c r="E15" s="54">
        <f>SUMIFS(statement!$I:$I,statement!$K:$K,ANALISA!$AA15, statement!$B:$B,ANALISA!E$4)</f>
        <v>0</v>
      </c>
      <c r="F15" s="54">
        <f>SUMIFS(statement!$H:$H,statement!$K:$K,ANALISA!$AA15, statement!$B:$B,ANALISA!F$4)</f>
        <v>0</v>
      </c>
      <c r="G15" s="54">
        <f>SUMIFS(statement!$I:$I,statement!$K:$K,ANALISA!$AA15, statement!$B:$B,ANALISA!G$4)</f>
        <v>0</v>
      </c>
      <c r="H15" s="54">
        <f>SUMIFS(statement!$I:$I,statement!$K:$K,ANALISA!$AA15, statement!$B:$B,ANALISA!H$4)</f>
        <v>0</v>
      </c>
      <c r="I15" s="54">
        <f>SUMIFS(statement!$I:$I,statement!$K:$K,ANALISA!$AA15, statement!$B:$B,ANALISA!I$4)</f>
        <v>0</v>
      </c>
      <c r="J15" s="54">
        <f>SUMIFS(statement!$I:$I,statement!$K:$K,ANALISA!$AA15, statement!$B:$B,ANALISA!J$4)</f>
        <v>0</v>
      </c>
      <c r="K15" s="54">
        <f>SUMIFS(statement!$I:$I,statement!$K:$K,ANALISA!$AA15, statement!$B:$B,ANALISA!K$4)</f>
        <v>0</v>
      </c>
      <c r="L15" s="54">
        <f t="shared" si="2"/>
        <v>0</v>
      </c>
      <c r="M15" s="54">
        <f>SUMIFS(statement!$I:$I,statement!$K:$K,ANALISA!$AA15, statement!$B:$B,ANALISA!M$4)</f>
        <v>0</v>
      </c>
      <c r="N15" s="54">
        <f>SUMIFS(statement!$I:$I,statement!$K:$K,ANALISA!$AA15, statement!$B:$B,ANALISA!N$4)</f>
        <v>0</v>
      </c>
      <c r="O15" s="54">
        <f>SUMIFS(statement!$I:$I,statement!$K:$K,ANALISA!$AA15, statement!$B:$B,ANALISA!O$4)</f>
        <v>0</v>
      </c>
      <c r="P15" s="54">
        <f>SUMIFS(statement!$I:$I,statement!$K:$K,ANALISA!$AA15, statement!$B:$B,ANALISA!P$4)</f>
        <v>0</v>
      </c>
      <c r="Q15" s="54">
        <f>SUMIFS(statement!$I:$I,statement!$K:$K,ANALISA!$AA15, statement!$B:$B,ANALISA!Q$4)</f>
        <v>0</v>
      </c>
      <c r="R15" s="54">
        <f>SUMIF(statement!$K:$K,ANALISA!AA15,statement!$J:$J)</f>
        <v>0</v>
      </c>
      <c r="S15" s="55">
        <f t="shared" si="3"/>
        <v>0</v>
      </c>
      <c r="T15" s="56">
        <f>IFERROR(VLOOKUP(S15,RK!$D$1:$E$65536,1,FALSE),0)</f>
        <v>0</v>
      </c>
      <c r="U15" s="57" t="e">
        <f>VLOOKUP(T15,RK!$D$1:$E$65536,2,FALSE)</f>
        <v>#N/A</v>
      </c>
      <c r="V15" s="58"/>
      <c r="W15" s="59" t="e">
        <f>VLOOKUP(V15,RK!$D$1:$E$65536,2,FALSE)</f>
        <v>#N/A</v>
      </c>
      <c r="X15" s="60">
        <f t="shared" si="6"/>
        <v>0</v>
      </c>
      <c r="Y15" s="55">
        <v>0</v>
      </c>
      <c r="Z15" s="55">
        <f t="shared" si="7"/>
        <v>0</v>
      </c>
      <c r="AA15" s="61">
        <v>8</v>
      </c>
      <c r="AB15" s="62"/>
      <c r="AC15" s="40">
        <f t="shared" si="4"/>
        <v>0</v>
      </c>
      <c r="AD15" s="63" t="str">
        <f>IFERROR(VLOOKUP(AB15,BDEPO!$A:$K,11,FALSE),"-")</f>
        <v>-</v>
      </c>
      <c r="AE15" s="6" t="str">
        <f t="shared" si="5"/>
        <v>DEPOSITED</v>
      </c>
      <c r="AF15" s="54">
        <f>SUMIFS(statement!$I:$I,statement!$K:$K,ANALISA!$AA15, statement!$B:$B,ANALISA!AF$4)</f>
        <v>0</v>
      </c>
      <c r="AG15" s="54">
        <f>SUMIFS(statement!$I:$I,statement!$K:$K,ANALISA!$AA15, statement!$B:$B,ANALISA!AG$4)</f>
        <v>0</v>
      </c>
      <c r="AH15" s="54">
        <f>SUMIFS(statement!$I:$I,statement!$K:$K,ANALISA!$AA15, statement!$B:$B,ANALISA!AH$4)</f>
        <v>0</v>
      </c>
      <c r="AI15" s="54">
        <f>SUMIFS(statement!$I:$I,statement!$K:$K,ANALISA!$AA15, statement!$B:$B,ANALISA!AI$4)</f>
        <v>0</v>
      </c>
      <c r="AJ15" s="54">
        <f>SUMIFS(statement!$I:$I,statement!$K:$K,ANALISA!$AA15, statement!$B:$B,ANALISA!AJ$4)</f>
        <v>0</v>
      </c>
      <c r="AK15" s="54">
        <f>SUMIFS(statement!$I:$I,statement!$K:$K,ANALISA!$AA15, statement!$B:$B,ANALISA!AK$4)</f>
        <v>0</v>
      </c>
      <c r="AL15" s="54">
        <f>SUMIFS(statement!$I:$I,statement!$K:$K,ANALISA!$AA15, statement!$B:$B,ANALISA!AL$4)</f>
        <v>0</v>
      </c>
      <c r="AM15" s="54">
        <f>SUMIFS(statement!$I:$I,statement!$K:$K,ANALISA!$AA15, statement!$B:$B,ANALISA!AM$4)</f>
        <v>0</v>
      </c>
      <c r="AN15" s="54">
        <f>SUMIFS(statement!$I:$I,statement!$K:$K,ANALISA!$AA15, statement!$B:$B,ANALISA!AN$4)</f>
        <v>0</v>
      </c>
      <c r="AO15" s="54">
        <f>SUMIFS(statement!$I:$I,statement!$K:$K,ANALISA!$AA15, statement!$B:$B,ANALISA!AO$4)</f>
        <v>0</v>
      </c>
      <c r="AP15" s="54">
        <f>SUMIFS(statement!$I:$I,statement!$K:$K,ANALISA!$AA15, statement!$B:$B,ANALISA!AP$4)</f>
        <v>0</v>
      </c>
      <c r="AQ15" s="54">
        <f>SUMIFS(statement!$I:$I,statement!$K:$K,ANALISA!$AA15, statement!$B:$B,ANALISA!AQ$4)</f>
        <v>0</v>
      </c>
      <c r="AR15" s="54">
        <f>SUMIFS(statement!$I:$I,statement!$K:$K,ANALISA!$AA15, statement!$B:$B,ANALISA!AR$4)</f>
        <v>0</v>
      </c>
      <c r="AS15" s="54">
        <f>SUMIFS(statement!$I:$I,statement!$K:$K,ANALISA!$AA15, statement!$B:$B,ANALISA!AS$4)</f>
        <v>0</v>
      </c>
      <c r="AT15" s="54">
        <f>SUMIFS(statement!$I:$I,statement!$K:$K,ANALISA!$AA15, statement!$B:$B,ANALISA!AT$4)</f>
        <v>0</v>
      </c>
      <c r="AU15" s="54">
        <f>SUMIFS(statement!$I:$I,statement!$K:$K,ANALISA!$AA15, statement!$B:$B,ANALISA!AU$4)</f>
        <v>0</v>
      </c>
      <c r="AV15" s="54">
        <f>SUMIFS(statement!$I:$I,statement!$K:$K,ANALISA!$AA15, statement!$B:$B,ANALISA!AV$4)</f>
        <v>0</v>
      </c>
      <c r="AW15" s="54">
        <f>SUMIFS(statement!$I:$I,statement!$K:$K,ANALISA!$AA15, statement!$B:$B,ANALISA!AW$4)</f>
        <v>0</v>
      </c>
      <c r="AX15" s="54">
        <f>SUMIFS(statement!$I:$I,statement!$K:$K,ANALISA!$AA15, statement!$B:$B,ANALISA!AX$4)</f>
        <v>0</v>
      </c>
    </row>
    <row r="16" spans="1:50" ht="15.6" customHeight="1" x14ac:dyDescent="0.3">
      <c r="A16" s="52">
        <f t="shared" si="0"/>
        <v>46274</v>
      </c>
      <c r="B16" s="9" t="str">
        <f t="shared" si="1"/>
        <v>09-Sep-2026 Wednesday</v>
      </c>
      <c r="C16" s="53">
        <v>46274</v>
      </c>
      <c r="D16" s="54">
        <f>SUMIF(statement!$K:$K,ANALISA!AA16,statement!$F:$F)</f>
        <v>0</v>
      </c>
      <c r="E16" s="54">
        <f>SUMIFS(statement!$I:$I,statement!$K:$K,ANALISA!$AA16, statement!$B:$B,ANALISA!E$4)</f>
        <v>0</v>
      </c>
      <c r="F16" s="54">
        <f>SUMIFS(statement!$H:$H,statement!$K:$K,ANALISA!$AA16, statement!$B:$B,ANALISA!F$4)</f>
        <v>0</v>
      </c>
      <c r="G16" s="54">
        <f>SUMIFS(statement!$I:$I,statement!$K:$K,ANALISA!$AA16, statement!$B:$B,ANALISA!G$4)</f>
        <v>0</v>
      </c>
      <c r="H16" s="54">
        <f>SUMIFS(statement!$I:$I,statement!$K:$K,ANALISA!$AA16, statement!$B:$B,ANALISA!H$4)</f>
        <v>0</v>
      </c>
      <c r="I16" s="54">
        <f>SUMIFS(statement!$I:$I,statement!$K:$K,ANALISA!$AA16, statement!$B:$B,ANALISA!I$4)</f>
        <v>0</v>
      </c>
      <c r="J16" s="54">
        <f>SUMIFS(statement!$I:$I,statement!$K:$K,ANALISA!$AA16, statement!$B:$B,ANALISA!J$4)</f>
        <v>0</v>
      </c>
      <c r="K16" s="54">
        <f>SUMIFS(statement!$I:$I,statement!$K:$K,ANALISA!$AA16, statement!$B:$B,ANALISA!K$4)</f>
        <v>0</v>
      </c>
      <c r="L16" s="54">
        <f t="shared" si="2"/>
        <v>0</v>
      </c>
      <c r="M16" s="54">
        <f>SUMIFS(statement!$I:$I,statement!$K:$K,ANALISA!$AA16, statement!$B:$B,ANALISA!M$4)</f>
        <v>0</v>
      </c>
      <c r="N16" s="54">
        <f>SUMIFS(statement!$I:$I,statement!$K:$K,ANALISA!$AA16, statement!$B:$B,ANALISA!N$4)</f>
        <v>0</v>
      </c>
      <c r="O16" s="54">
        <f>SUMIFS(statement!$I:$I,statement!$K:$K,ANALISA!$AA16, statement!$B:$B,ANALISA!O$4)</f>
        <v>0</v>
      </c>
      <c r="P16" s="54">
        <f>SUMIFS(statement!$I:$I,statement!$K:$K,ANALISA!$AA16, statement!$B:$B,ANALISA!P$4)</f>
        <v>0</v>
      </c>
      <c r="Q16" s="54">
        <f>SUMIFS(statement!$I:$I,statement!$K:$K,ANALISA!$AA16, statement!$B:$B,ANALISA!Q$4)</f>
        <v>0</v>
      </c>
      <c r="R16" s="54">
        <f>SUMIF(statement!$K:$K,ANALISA!AA16,statement!$J:$J)</f>
        <v>0</v>
      </c>
      <c r="S16" s="55">
        <f t="shared" si="3"/>
        <v>0</v>
      </c>
      <c r="T16" s="56">
        <f>IFERROR(VLOOKUP(S16,RK!$D$1:$E$65536,1,FALSE),0)</f>
        <v>0</v>
      </c>
      <c r="U16" s="57" t="e">
        <f>VLOOKUP(T16,RK!$D$1:$E$65536,2,FALSE)</f>
        <v>#N/A</v>
      </c>
      <c r="V16" s="58"/>
      <c r="W16" s="59" t="e">
        <f>VLOOKUP(V16,RK!$D$1:$E$65536,2,FALSE)</f>
        <v>#N/A</v>
      </c>
      <c r="X16" s="60">
        <f t="shared" si="6"/>
        <v>0</v>
      </c>
      <c r="Y16" s="55">
        <v>0</v>
      </c>
      <c r="Z16" s="55">
        <f t="shared" si="7"/>
        <v>0</v>
      </c>
      <c r="AA16" s="61">
        <v>9</v>
      </c>
      <c r="AC16" s="40">
        <f t="shared" si="4"/>
        <v>0</v>
      </c>
      <c r="AD16" s="63" t="str">
        <f>IFERROR(VLOOKUP(AB16,BDEPO!$A:$K,11,FALSE),"-")</f>
        <v>-</v>
      </c>
      <c r="AE16" s="6" t="str">
        <f t="shared" si="5"/>
        <v>DEPOSITED</v>
      </c>
      <c r="AF16" s="54">
        <f>SUMIFS(statement!$I:$I,statement!$K:$K,ANALISA!$AA16, statement!$B:$B,ANALISA!AF$4)</f>
        <v>0</v>
      </c>
      <c r="AG16" s="54">
        <f>SUMIFS(statement!$I:$I,statement!$K:$K,ANALISA!$AA16, statement!$B:$B,ANALISA!AG$4)</f>
        <v>0</v>
      </c>
      <c r="AH16" s="54">
        <f>SUMIFS(statement!$I:$I,statement!$K:$K,ANALISA!$AA16, statement!$B:$B,ANALISA!AH$4)</f>
        <v>0</v>
      </c>
      <c r="AI16" s="54">
        <f>SUMIFS(statement!$I:$I,statement!$K:$K,ANALISA!$AA16, statement!$B:$B,ANALISA!AI$4)</f>
        <v>0</v>
      </c>
      <c r="AJ16" s="54">
        <f>SUMIFS(statement!$I:$I,statement!$K:$K,ANALISA!$AA16, statement!$B:$B,ANALISA!AJ$4)</f>
        <v>0</v>
      </c>
      <c r="AK16" s="54">
        <f>SUMIFS(statement!$I:$I,statement!$K:$K,ANALISA!$AA16, statement!$B:$B,ANALISA!AK$4)</f>
        <v>0</v>
      </c>
      <c r="AL16" s="54">
        <f>SUMIFS(statement!$I:$I,statement!$K:$K,ANALISA!$AA16, statement!$B:$B,ANALISA!AL$4)</f>
        <v>0</v>
      </c>
      <c r="AM16" s="54">
        <f>SUMIFS(statement!$I:$I,statement!$K:$K,ANALISA!$AA16, statement!$B:$B,ANALISA!AM$4)</f>
        <v>0</v>
      </c>
      <c r="AN16" s="54">
        <f>SUMIFS(statement!$I:$I,statement!$K:$K,ANALISA!$AA16, statement!$B:$B,ANALISA!AN$4)</f>
        <v>0</v>
      </c>
      <c r="AO16" s="54">
        <f>SUMIFS(statement!$I:$I,statement!$K:$K,ANALISA!$AA16, statement!$B:$B,ANALISA!AO$4)</f>
        <v>0</v>
      </c>
      <c r="AP16" s="54">
        <f>SUMIFS(statement!$I:$I,statement!$K:$K,ANALISA!$AA16, statement!$B:$B,ANALISA!AP$4)</f>
        <v>0</v>
      </c>
      <c r="AQ16" s="54">
        <f>SUMIFS(statement!$I:$I,statement!$K:$K,ANALISA!$AA16, statement!$B:$B,ANALISA!AQ$4)</f>
        <v>0</v>
      </c>
      <c r="AR16" s="54">
        <f>SUMIFS(statement!$I:$I,statement!$K:$K,ANALISA!$AA16, statement!$B:$B,ANALISA!AR$4)</f>
        <v>0</v>
      </c>
      <c r="AS16" s="54">
        <f>SUMIFS(statement!$I:$I,statement!$K:$K,ANALISA!$AA16, statement!$B:$B,ANALISA!AS$4)</f>
        <v>0</v>
      </c>
      <c r="AT16" s="54">
        <f>SUMIFS(statement!$I:$I,statement!$K:$K,ANALISA!$AA16, statement!$B:$B,ANALISA!AT$4)</f>
        <v>0</v>
      </c>
      <c r="AU16" s="54">
        <f>SUMIFS(statement!$I:$I,statement!$K:$K,ANALISA!$AA16, statement!$B:$B,ANALISA!AU$4)</f>
        <v>0</v>
      </c>
      <c r="AV16" s="54">
        <f>SUMIFS(statement!$I:$I,statement!$K:$K,ANALISA!$AA16, statement!$B:$B,ANALISA!AV$4)</f>
        <v>0</v>
      </c>
      <c r="AW16" s="54">
        <f>SUMIFS(statement!$I:$I,statement!$K:$K,ANALISA!$AA16, statement!$B:$B,ANALISA!AW$4)</f>
        <v>0</v>
      </c>
      <c r="AX16" s="54">
        <f>SUMIFS(statement!$I:$I,statement!$K:$K,ANALISA!$AA16, statement!$B:$B,ANALISA!AX$4)</f>
        <v>0</v>
      </c>
    </row>
    <row r="17" spans="1:50" ht="15.6" customHeight="1" x14ac:dyDescent="0.3">
      <c r="A17" s="52">
        <f t="shared" si="0"/>
        <v>46275</v>
      </c>
      <c r="B17" s="9" t="str">
        <f t="shared" si="1"/>
        <v>10-Sep-2026 Thursday</v>
      </c>
      <c r="C17" s="53">
        <v>46275</v>
      </c>
      <c r="D17" s="54">
        <f>SUMIF(statement!$K:$K,ANALISA!AA17,statement!$F:$F)</f>
        <v>0</v>
      </c>
      <c r="E17" s="54">
        <f>SUMIFS(statement!$I:$I,statement!$K:$K,ANALISA!$AA17, statement!$B:$B,ANALISA!E$4)</f>
        <v>0</v>
      </c>
      <c r="F17" s="54">
        <f>SUMIFS(statement!$H:$H,statement!$K:$K,ANALISA!$AA17, statement!$B:$B,ANALISA!F$4)</f>
        <v>0</v>
      </c>
      <c r="G17" s="54">
        <f>SUMIFS(statement!$I:$I,statement!$K:$K,ANALISA!$AA17, statement!$B:$B,ANALISA!G$4)</f>
        <v>0</v>
      </c>
      <c r="H17" s="54">
        <f>SUMIFS(statement!$I:$I,statement!$K:$K,ANALISA!$AA17, statement!$B:$B,ANALISA!H$4)</f>
        <v>0</v>
      </c>
      <c r="I17" s="54">
        <f>SUMIFS(statement!$I:$I,statement!$K:$K,ANALISA!$AA17, statement!$B:$B,ANALISA!I$4)</f>
        <v>0</v>
      </c>
      <c r="J17" s="54">
        <f>SUMIFS(statement!$I:$I,statement!$K:$K,ANALISA!$AA17, statement!$B:$B,ANALISA!J$4)</f>
        <v>0</v>
      </c>
      <c r="K17" s="54">
        <f>SUMIFS(statement!$I:$I,statement!$K:$K,ANALISA!$AA17, statement!$B:$B,ANALISA!K$4)</f>
        <v>0</v>
      </c>
      <c r="L17" s="54">
        <f t="shared" si="2"/>
        <v>0</v>
      </c>
      <c r="M17" s="54">
        <f>SUMIFS(statement!$I:$I,statement!$K:$K,ANALISA!$AA17, statement!$B:$B,ANALISA!M$4)</f>
        <v>0</v>
      </c>
      <c r="N17" s="54">
        <f>SUMIFS(statement!$I:$I,statement!$K:$K,ANALISA!$AA17, statement!$B:$B,ANALISA!N$4)</f>
        <v>0</v>
      </c>
      <c r="O17" s="54">
        <f>SUMIFS(statement!$I:$I,statement!$K:$K,ANALISA!$AA17, statement!$B:$B,ANALISA!O$4)</f>
        <v>0</v>
      </c>
      <c r="P17" s="54">
        <f>SUMIFS(statement!$I:$I,statement!$K:$K,ANALISA!$AA17, statement!$B:$B,ANALISA!P$4)</f>
        <v>0</v>
      </c>
      <c r="Q17" s="54">
        <f>SUMIFS(statement!$I:$I,statement!$K:$K,ANALISA!$AA17, statement!$B:$B,ANALISA!Q$4)</f>
        <v>0</v>
      </c>
      <c r="R17" s="54">
        <f>SUMIF(statement!$K:$K,ANALISA!AA17,statement!$J:$J)</f>
        <v>0</v>
      </c>
      <c r="S17" s="55">
        <f t="shared" si="3"/>
        <v>0</v>
      </c>
      <c r="T17" s="56">
        <f>IFERROR(VLOOKUP(S17,RK!$D$1:$E$65536,1,FALSE),0)</f>
        <v>0</v>
      </c>
      <c r="U17" s="57" t="e">
        <f>VLOOKUP(T17,RK!$D$1:$E$65536,2,FALSE)</f>
        <v>#N/A</v>
      </c>
      <c r="V17" s="58"/>
      <c r="W17" s="59" t="e">
        <f>VLOOKUP(V17,RK!$D$1:$E$65536,2,FALSE)</f>
        <v>#N/A</v>
      </c>
      <c r="X17" s="60">
        <f t="shared" si="6"/>
        <v>0</v>
      </c>
      <c r="Y17" s="55">
        <v>0</v>
      </c>
      <c r="Z17" s="55">
        <f t="shared" si="7"/>
        <v>0</v>
      </c>
      <c r="AA17" s="61">
        <v>10</v>
      </c>
      <c r="AC17" s="40">
        <f t="shared" si="4"/>
        <v>0</v>
      </c>
      <c r="AD17" s="63" t="str">
        <f>IFERROR(VLOOKUP(AB17,BDEPO!$A:$K,11,FALSE),"-")</f>
        <v>-</v>
      </c>
      <c r="AE17" s="6" t="str">
        <f t="shared" si="5"/>
        <v>DEPOSITED</v>
      </c>
      <c r="AF17" s="54">
        <f>SUMIFS(statement!$I:$I,statement!$K:$K,ANALISA!$AA17, statement!$B:$B,ANALISA!AF$4)</f>
        <v>0</v>
      </c>
      <c r="AG17" s="54">
        <f>SUMIFS(statement!$I:$I,statement!$K:$K,ANALISA!$AA17, statement!$B:$B,ANALISA!AG$4)</f>
        <v>0</v>
      </c>
      <c r="AH17" s="54">
        <f>SUMIFS(statement!$I:$I,statement!$K:$K,ANALISA!$AA17, statement!$B:$B,ANALISA!AH$4)</f>
        <v>0</v>
      </c>
      <c r="AI17" s="54">
        <f>SUMIFS(statement!$I:$I,statement!$K:$K,ANALISA!$AA17, statement!$B:$B,ANALISA!AI$4)</f>
        <v>0</v>
      </c>
      <c r="AJ17" s="54">
        <f>SUMIFS(statement!$I:$I,statement!$K:$K,ANALISA!$AA17, statement!$B:$B,ANALISA!AJ$4)</f>
        <v>0</v>
      </c>
      <c r="AK17" s="54">
        <f>SUMIFS(statement!$I:$I,statement!$K:$K,ANALISA!$AA17, statement!$B:$B,ANALISA!AK$4)</f>
        <v>0</v>
      </c>
      <c r="AL17" s="54">
        <f>SUMIFS(statement!$I:$I,statement!$K:$K,ANALISA!$AA17, statement!$B:$B,ANALISA!AL$4)</f>
        <v>0</v>
      </c>
      <c r="AM17" s="54">
        <f>SUMIFS(statement!$I:$I,statement!$K:$K,ANALISA!$AA17, statement!$B:$B,ANALISA!AM$4)</f>
        <v>0</v>
      </c>
      <c r="AN17" s="54">
        <f>SUMIFS(statement!$I:$I,statement!$K:$K,ANALISA!$AA17, statement!$B:$B,ANALISA!AN$4)</f>
        <v>0</v>
      </c>
      <c r="AO17" s="54">
        <f>SUMIFS(statement!$I:$I,statement!$K:$K,ANALISA!$AA17, statement!$B:$B,ANALISA!AO$4)</f>
        <v>0</v>
      </c>
      <c r="AP17" s="54">
        <f>SUMIFS(statement!$I:$I,statement!$K:$K,ANALISA!$AA17, statement!$B:$B,ANALISA!AP$4)</f>
        <v>0</v>
      </c>
      <c r="AQ17" s="54">
        <f>SUMIFS(statement!$I:$I,statement!$K:$K,ANALISA!$AA17, statement!$B:$B,ANALISA!AQ$4)</f>
        <v>0</v>
      </c>
      <c r="AR17" s="54">
        <f>SUMIFS(statement!$I:$I,statement!$K:$K,ANALISA!$AA17, statement!$B:$B,ANALISA!AR$4)</f>
        <v>0</v>
      </c>
      <c r="AS17" s="54">
        <f>SUMIFS(statement!$I:$I,statement!$K:$K,ANALISA!$AA17, statement!$B:$B,ANALISA!AS$4)</f>
        <v>0</v>
      </c>
      <c r="AT17" s="54">
        <f>SUMIFS(statement!$I:$I,statement!$K:$K,ANALISA!$AA17, statement!$B:$B,ANALISA!AT$4)</f>
        <v>0</v>
      </c>
      <c r="AU17" s="54">
        <f>SUMIFS(statement!$I:$I,statement!$K:$K,ANALISA!$AA17, statement!$B:$B,ANALISA!AU$4)</f>
        <v>0</v>
      </c>
      <c r="AV17" s="54">
        <f>SUMIFS(statement!$I:$I,statement!$K:$K,ANALISA!$AA17, statement!$B:$B,ANALISA!AV$4)</f>
        <v>0</v>
      </c>
      <c r="AW17" s="54">
        <f>SUMIFS(statement!$I:$I,statement!$K:$K,ANALISA!$AA17, statement!$B:$B,ANALISA!AW$4)</f>
        <v>0</v>
      </c>
      <c r="AX17" s="54">
        <f>SUMIFS(statement!$I:$I,statement!$K:$K,ANALISA!$AA17, statement!$B:$B,ANALISA!AX$4)</f>
        <v>0</v>
      </c>
    </row>
    <row r="18" spans="1:50" ht="15.6" customHeight="1" x14ac:dyDescent="0.3">
      <c r="A18" s="52">
        <f t="shared" si="0"/>
        <v>46276</v>
      </c>
      <c r="B18" s="9" t="str">
        <f t="shared" si="1"/>
        <v>11-Sep-2026 Friday</v>
      </c>
      <c r="C18" s="53">
        <v>46276</v>
      </c>
      <c r="D18" s="54">
        <f>SUMIF(statement!$K:$K,ANALISA!AA18,statement!$F:$F)</f>
        <v>0</v>
      </c>
      <c r="E18" s="54">
        <f>SUMIFS(statement!$I:$I,statement!$K:$K,ANALISA!$AA18, statement!$B:$B,ANALISA!E$4)</f>
        <v>0</v>
      </c>
      <c r="F18" s="54">
        <f>SUMIFS(statement!$H:$H,statement!$K:$K,ANALISA!$AA18, statement!$B:$B,ANALISA!F$4)</f>
        <v>0</v>
      </c>
      <c r="G18" s="54">
        <f>SUMIFS(statement!$I:$I,statement!$K:$K,ANALISA!$AA18, statement!$B:$B,ANALISA!G$4)</f>
        <v>0</v>
      </c>
      <c r="H18" s="54">
        <f>SUMIFS(statement!$I:$I,statement!$K:$K,ANALISA!$AA18, statement!$B:$B,ANALISA!H$4)</f>
        <v>0</v>
      </c>
      <c r="I18" s="54">
        <f>SUMIFS(statement!$I:$I,statement!$K:$K,ANALISA!$AA18, statement!$B:$B,ANALISA!I$4)</f>
        <v>0</v>
      </c>
      <c r="J18" s="54">
        <f>SUMIFS(statement!$I:$I,statement!$K:$K,ANALISA!$AA18, statement!$B:$B,ANALISA!J$4)</f>
        <v>0</v>
      </c>
      <c r="K18" s="54">
        <f>SUMIFS(statement!$I:$I,statement!$K:$K,ANALISA!$AA18, statement!$B:$B,ANALISA!K$4)</f>
        <v>0</v>
      </c>
      <c r="L18" s="54">
        <f t="shared" si="2"/>
        <v>0</v>
      </c>
      <c r="M18" s="54">
        <f>SUMIFS(statement!$I:$I,statement!$K:$K,ANALISA!$AA18, statement!$B:$B,ANALISA!M$4)</f>
        <v>0</v>
      </c>
      <c r="N18" s="54">
        <f>SUMIFS(statement!$I:$I,statement!$K:$K,ANALISA!$AA18, statement!$B:$B,ANALISA!N$4)</f>
        <v>0</v>
      </c>
      <c r="O18" s="54">
        <f>SUMIFS(statement!$I:$I,statement!$K:$K,ANALISA!$AA18, statement!$B:$B,ANALISA!O$4)</f>
        <v>0</v>
      </c>
      <c r="P18" s="54">
        <f>SUMIFS(statement!$I:$I,statement!$K:$K,ANALISA!$AA18, statement!$B:$B,ANALISA!P$4)</f>
        <v>0</v>
      </c>
      <c r="Q18" s="54">
        <f>SUMIFS(statement!$I:$I,statement!$K:$K,ANALISA!$AA18, statement!$B:$B,ANALISA!Q$4)</f>
        <v>0</v>
      </c>
      <c r="R18" s="54">
        <f>SUMIF(statement!$K:$K,ANALISA!AA18,statement!$J:$J)</f>
        <v>0</v>
      </c>
      <c r="S18" s="55">
        <f t="shared" si="3"/>
        <v>0</v>
      </c>
      <c r="T18" s="56">
        <f>IFERROR(VLOOKUP(S18,RK!$D$1:$E$65536,1,FALSE),0)</f>
        <v>0</v>
      </c>
      <c r="U18" s="57" t="e">
        <f>VLOOKUP(T18,RK!$D$1:$E$65536,2,FALSE)</f>
        <v>#N/A</v>
      </c>
      <c r="V18" s="58"/>
      <c r="W18" s="59" t="e">
        <f>VLOOKUP(V18,RK!$D$1:$E$65536,2,FALSE)</f>
        <v>#N/A</v>
      </c>
      <c r="X18" s="60">
        <f t="shared" si="6"/>
        <v>0</v>
      </c>
      <c r="Y18" s="55">
        <v>0</v>
      </c>
      <c r="Z18" s="55">
        <f t="shared" si="7"/>
        <v>0</v>
      </c>
      <c r="AA18" s="61">
        <v>11</v>
      </c>
      <c r="AC18" s="40">
        <f t="shared" si="4"/>
        <v>0</v>
      </c>
      <c r="AD18" s="63" t="str">
        <f>IFERROR(VLOOKUP(AB18,BDEPO!$A:$K,11,FALSE),"-")</f>
        <v>-</v>
      </c>
      <c r="AE18" s="6" t="str">
        <f t="shared" si="5"/>
        <v>DEPOSITED</v>
      </c>
      <c r="AF18" s="54">
        <f>SUMIFS(statement!$I:$I,statement!$K:$K,ANALISA!$AA18, statement!$B:$B,ANALISA!AF$4)</f>
        <v>0</v>
      </c>
      <c r="AG18" s="54">
        <f>SUMIFS(statement!$I:$I,statement!$K:$K,ANALISA!$AA18, statement!$B:$B,ANALISA!AG$4)</f>
        <v>0</v>
      </c>
      <c r="AH18" s="54">
        <f>SUMIFS(statement!$I:$I,statement!$K:$K,ANALISA!$AA18, statement!$B:$B,ANALISA!AH$4)</f>
        <v>0</v>
      </c>
      <c r="AI18" s="54">
        <f>SUMIFS(statement!$I:$I,statement!$K:$K,ANALISA!$AA18, statement!$B:$B,ANALISA!AI$4)</f>
        <v>0</v>
      </c>
      <c r="AJ18" s="54">
        <f>SUMIFS(statement!$I:$I,statement!$K:$K,ANALISA!$AA18, statement!$B:$B,ANALISA!AJ$4)</f>
        <v>0</v>
      </c>
      <c r="AK18" s="54">
        <f>SUMIFS(statement!$I:$I,statement!$K:$K,ANALISA!$AA18, statement!$B:$B,ANALISA!AK$4)</f>
        <v>0</v>
      </c>
      <c r="AL18" s="54">
        <f>SUMIFS(statement!$I:$I,statement!$K:$K,ANALISA!$AA18, statement!$B:$B,ANALISA!AL$4)</f>
        <v>0</v>
      </c>
      <c r="AM18" s="54">
        <f>SUMIFS(statement!$I:$I,statement!$K:$K,ANALISA!$AA18, statement!$B:$B,ANALISA!AM$4)</f>
        <v>0</v>
      </c>
      <c r="AN18" s="54">
        <f>SUMIFS(statement!$I:$I,statement!$K:$K,ANALISA!$AA18, statement!$B:$B,ANALISA!AN$4)</f>
        <v>0</v>
      </c>
      <c r="AO18" s="54">
        <f>SUMIFS(statement!$I:$I,statement!$K:$K,ANALISA!$AA18, statement!$B:$B,ANALISA!AO$4)</f>
        <v>0</v>
      </c>
      <c r="AP18" s="54">
        <f>SUMIFS(statement!$I:$I,statement!$K:$K,ANALISA!$AA18, statement!$B:$B,ANALISA!AP$4)</f>
        <v>0</v>
      </c>
      <c r="AQ18" s="54">
        <f>SUMIFS(statement!$I:$I,statement!$K:$K,ANALISA!$AA18, statement!$B:$B,ANALISA!AQ$4)</f>
        <v>0</v>
      </c>
      <c r="AR18" s="54">
        <f>SUMIFS(statement!$I:$I,statement!$K:$K,ANALISA!$AA18, statement!$B:$B,ANALISA!AR$4)</f>
        <v>0</v>
      </c>
      <c r="AS18" s="54">
        <f>SUMIFS(statement!$I:$I,statement!$K:$K,ANALISA!$AA18, statement!$B:$B,ANALISA!AS$4)</f>
        <v>0</v>
      </c>
      <c r="AT18" s="54">
        <f>SUMIFS(statement!$I:$I,statement!$K:$K,ANALISA!$AA18, statement!$B:$B,ANALISA!AT$4)</f>
        <v>0</v>
      </c>
      <c r="AU18" s="54">
        <f>SUMIFS(statement!$I:$I,statement!$K:$K,ANALISA!$AA18, statement!$B:$B,ANALISA!AU$4)</f>
        <v>0</v>
      </c>
      <c r="AV18" s="54">
        <f>SUMIFS(statement!$I:$I,statement!$K:$K,ANALISA!$AA18, statement!$B:$B,ANALISA!AV$4)</f>
        <v>0</v>
      </c>
      <c r="AW18" s="54">
        <f>SUMIFS(statement!$I:$I,statement!$K:$K,ANALISA!$AA18, statement!$B:$B,ANALISA!AW$4)</f>
        <v>0</v>
      </c>
      <c r="AX18" s="54">
        <f>SUMIFS(statement!$I:$I,statement!$K:$K,ANALISA!$AA18, statement!$B:$B,ANALISA!AX$4)</f>
        <v>0</v>
      </c>
    </row>
    <row r="19" spans="1:50" ht="15.6" customHeight="1" x14ac:dyDescent="0.3">
      <c r="A19" s="52">
        <f t="shared" si="0"/>
        <v>46277</v>
      </c>
      <c r="B19" s="9" t="str">
        <f t="shared" si="1"/>
        <v>12-Sep-2026 Saturday</v>
      </c>
      <c r="C19" s="53">
        <v>46277</v>
      </c>
      <c r="D19" s="54">
        <f>SUMIF(statement!$K:$K,ANALISA!AA19,statement!$F:$F)</f>
        <v>0</v>
      </c>
      <c r="E19" s="54">
        <f>SUMIFS(statement!$I:$I,statement!$K:$K,ANALISA!$AA19, statement!$B:$B,ANALISA!E$4)</f>
        <v>0</v>
      </c>
      <c r="F19" s="54">
        <f>SUMIFS(statement!$H:$H,statement!$K:$K,ANALISA!$AA19, statement!$B:$B,ANALISA!F$4)</f>
        <v>0</v>
      </c>
      <c r="G19" s="54">
        <f>SUMIFS(statement!$I:$I,statement!$K:$K,ANALISA!$AA19, statement!$B:$B,ANALISA!G$4)</f>
        <v>0</v>
      </c>
      <c r="H19" s="54">
        <f>SUMIFS(statement!$I:$I,statement!$K:$K,ANALISA!$AA19, statement!$B:$B,ANALISA!H$4)</f>
        <v>0</v>
      </c>
      <c r="I19" s="54">
        <f>SUMIFS(statement!$I:$I,statement!$K:$K,ANALISA!$AA19, statement!$B:$B,ANALISA!I$4)</f>
        <v>0</v>
      </c>
      <c r="J19" s="54">
        <f>SUMIFS(statement!$I:$I,statement!$K:$K,ANALISA!$AA19, statement!$B:$B,ANALISA!J$4)</f>
        <v>0</v>
      </c>
      <c r="K19" s="54">
        <f>SUMIFS(statement!$I:$I,statement!$K:$K,ANALISA!$AA19, statement!$B:$B,ANALISA!K$4)</f>
        <v>0</v>
      </c>
      <c r="L19" s="54">
        <f t="shared" si="2"/>
        <v>0</v>
      </c>
      <c r="M19" s="54">
        <f>SUMIFS(statement!$I:$I,statement!$K:$K,ANALISA!$AA19, statement!$B:$B,ANALISA!M$4)</f>
        <v>0</v>
      </c>
      <c r="N19" s="54">
        <f>SUMIFS(statement!$I:$I,statement!$K:$K,ANALISA!$AA19, statement!$B:$B,ANALISA!N$4)</f>
        <v>0</v>
      </c>
      <c r="O19" s="54">
        <f>SUMIFS(statement!$I:$I,statement!$K:$K,ANALISA!$AA19, statement!$B:$B,ANALISA!O$4)</f>
        <v>0</v>
      </c>
      <c r="P19" s="54">
        <f>SUMIFS(statement!$I:$I,statement!$K:$K,ANALISA!$AA19, statement!$B:$B,ANALISA!P$4)</f>
        <v>0</v>
      </c>
      <c r="Q19" s="54">
        <f>SUMIFS(statement!$I:$I,statement!$K:$K,ANALISA!$AA19, statement!$B:$B,ANALISA!Q$4)</f>
        <v>0</v>
      </c>
      <c r="R19" s="54">
        <f>SUMIF(statement!$K:$K,ANALISA!AA19,statement!$J:$J)</f>
        <v>0</v>
      </c>
      <c r="S19" s="55">
        <f t="shared" si="3"/>
        <v>0</v>
      </c>
      <c r="T19" s="56">
        <f>IFERROR(VLOOKUP(S19,RK!$D$1:$E$65536,1,FALSE),0)</f>
        <v>0</v>
      </c>
      <c r="U19" s="57" t="e">
        <f>VLOOKUP(T19,RK!$D$1:$E$65536,2,FALSE)</f>
        <v>#N/A</v>
      </c>
      <c r="V19" s="58"/>
      <c r="W19" s="59" t="e">
        <f>VLOOKUP(V19,RK!$D$1:$E$65536,2,FALSE)</f>
        <v>#N/A</v>
      </c>
      <c r="X19" s="60">
        <f t="shared" si="6"/>
        <v>0</v>
      </c>
      <c r="Y19" s="55">
        <v>0</v>
      </c>
      <c r="Z19" s="55">
        <f t="shared" si="7"/>
        <v>0</v>
      </c>
      <c r="AA19" s="61">
        <v>12</v>
      </c>
      <c r="AC19" s="40">
        <f t="shared" si="4"/>
        <v>0</v>
      </c>
      <c r="AD19" s="63" t="str">
        <f>IFERROR(VLOOKUP(AB19,BDEPO!$A:$K,11,FALSE),"-")</f>
        <v>-</v>
      </c>
      <c r="AE19" s="6" t="str">
        <f t="shared" si="5"/>
        <v>DEPOSITED</v>
      </c>
      <c r="AF19" s="54">
        <f>SUMIFS(statement!$I:$I,statement!$K:$K,ANALISA!$AA19, statement!$B:$B,ANALISA!AF$4)</f>
        <v>0</v>
      </c>
      <c r="AG19" s="54">
        <f>SUMIFS(statement!$I:$I,statement!$K:$K,ANALISA!$AA19, statement!$B:$B,ANALISA!AG$4)</f>
        <v>0</v>
      </c>
      <c r="AH19" s="54">
        <f>SUMIFS(statement!$I:$I,statement!$K:$K,ANALISA!$AA19, statement!$B:$B,ANALISA!AH$4)</f>
        <v>0</v>
      </c>
      <c r="AI19" s="54">
        <f>SUMIFS(statement!$I:$I,statement!$K:$K,ANALISA!$AA19, statement!$B:$B,ANALISA!AI$4)</f>
        <v>0</v>
      </c>
      <c r="AJ19" s="54">
        <f>SUMIFS(statement!$I:$I,statement!$K:$K,ANALISA!$AA19, statement!$B:$B,ANALISA!AJ$4)</f>
        <v>0</v>
      </c>
      <c r="AK19" s="54">
        <f>SUMIFS(statement!$I:$I,statement!$K:$K,ANALISA!$AA19, statement!$B:$B,ANALISA!AK$4)</f>
        <v>0</v>
      </c>
      <c r="AL19" s="54">
        <f>SUMIFS(statement!$I:$I,statement!$K:$K,ANALISA!$AA19, statement!$B:$B,ANALISA!AL$4)</f>
        <v>0</v>
      </c>
      <c r="AM19" s="54">
        <f>SUMIFS(statement!$I:$I,statement!$K:$K,ANALISA!$AA19, statement!$B:$B,ANALISA!AM$4)</f>
        <v>0</v>
      </c>
      <c r="AN19" s="54">
        <f>SUMIFS(statement!$I:$I,statement!$K:$K,ANALISA!$AA19, statement!$B:$B,ANALISA!AN$4)</f>
        <v>0</v>
      </c>
      <c r="AO19" s="54">
        <f>SUMIFS(statement!$I:$I,statement!$K:$K,ANALISA!$AA19, statement!$B:$B,ANALISA!AO$4)</f>
        <v>0</v>
      </c>
      <c r="AP19" s="54">
        <f>SUMIFS(statement!$I:$I,statement!$K:$K,ANALISA!$AA19, statement!$B:$B,ANALISA!AP$4)</f>
        <v>0</v>
      </c>
      <c r="AQ19" s="54">
        <f>SUMIFS(statement!$I:$I,statement!$K:$K,ANALISA!$AA19, statement!$B:$B,ANALISA!AQ$4)</f>
        <v>0</v>
      </c>
      <c r="AR19" s="54">
        <f>SUMIFS(statement!$I:$I,statement!$K:$K,ANALISA!$AA19, statement!$B:$B,ANALISA!AR$4)</f>
        <v>0</v>
      </c>
      <c r="AS19" s="54">
        <f>SUMIFS(statement!$I:$I,statement!$K:$K,ANALISA!$AA19, statement!$B:$B,ANALISA!AS$4)</f>
        <v>0</v>
      </c>
      <c r="AT19" s="54">
        <f>SUMIFS(statement!$I:$I,statement!$K:$K,ANALISA!$AA19, statement!$B:$B,ANALISA!AT$4)</f>
        <v>0</v>
      </c>
      <c r="AU19" s="54">
        <f>SUMIFS(statement!$I:$I,statement!$K:$K,ANALISA!$AA19, statement!$B:$B,ANALISA!AU$4)</f>
        <v>0</v>
      </c>
      <c r="AV19" s="54">
        <f>SUMIFS(statement!$I:$I,statement!$K:$K,ANALISA!$AA19, statement!$B:$B,ANALISA!AV$4)</f>
        <v>0</v>
      </c>
      <c r="AW19" s="54">
        <f>SUMIFS(statement!$I:$I,statement!$K:$K,ANALISA!$AA19, statement!$B:$B,ANALISA!AW$4)</f>
        <v>0</v>
      </c>
      <c r="AX19" s="54">
        <f>SUMIFS(statement!$I:$I,statement!$K:$K,ANALISA!$AA19, statement!$B:$B,ANALISA!AX$4)</f>
        <v>0</v>
      </c>
    </row>
    <row r="20" spans="1:50" ht="15.6" customHeight="1" x14ac:dyDescent="0.3">
      <c r="A20" s="52">
        <f t="shared" si="0"/>
        <v>46278</v>
      </c>
      <c r="B20" s="9" t="str">
        <f t="shared" si="1"/>
        <v>13-Sep-2026 Sunday</v>
      </c>
      <c r="C20" s="53">
        <v>46278</v>
      </c>
      <c r="D20" s="54">
        <f>SUMIF(statement!$K:$K,ANALISA!AA20,statement!$F:$F)</f>
        <v>0</v>
      </c>
      <c r="E20" s="54">
        <f>SUMIFS(statement!$I:$I,statement!$K:$K,ANALISA!$AA20, statement!$B:$B,ANALISA!E$4)</f>
        <v>0</v>
      </c>
      <c r="F20" s="54">
        <f>SUMIFS(statement!$H:$H,statement!$K:$K,ANALISA!$AA20, statement!$B:$B,ANALISA!F$4)</f>
        <v>0</v>
      </c>
      <c r="G20" s="54">
        <f>SUMIFS(statement!$I:$I,statement!$K:$K,ANALISA!$AA20, statement!$B:$B,ANALISA!G$4)</f>
        <v>0</v>
      </c>
      <c r="H20" s="54">
        <f>SUMIFS(statement!$I:$I,statement!$K:$K,ANALISA!$AA20, statement!$B:$B,ANALISA!H$4)</f>
        <v>0</v>
      </c>
      <c r="I20" s="54">
        <f>SUMIFS(statement!$I:$I,statement!$K:$K,ANALISA!$AA20, statement!$B:$B,ANALISA!I$4)</f>
        <v>0</v>
      </c>
      <c r="J20" s="54">
        <f>SUMIFS(statement!$I:$I,statement!$K:$K,ANALISA!$AA20, statement!$B:$B,ANALISA!J$4)</f>
        <v>0</v>
      </c>
      <c r="K20" s="54">
        <f>SUMIFS(statement!$I:$I,statement!$K:$K,ANALISA!$AA20, statement!$B:$B,ANALISA!K$4)</f>
        <v>0</v>
      </c>
      <c r="L20" s="54">
        <f t="shared" si="2"/>
        <v>0</v>
      </c>
      <c r="M20" s="54">
        <f>SUMIFS(statement!$I:$I,statement!$K:$K,ANALISA!$AA20, statement!$B:$B,ANALISA!M$4)</f>
        <v>0</v>
      </c>
      <c r="N20" s="54">
        <f>SUMIFS(statement!$I:$I,statement!$K:$K,ANALISA!$AA20, statement!$B:$B,ANALISA!N$4)</f>
        <v>0</v>
      </c>
      <c r="O20" s="54">
        <f>SUMIFS(statement!$I:$I,statement!$K:$K,ANALISA!$AA20, statement!$B:$B,ANALISA!O$4)</f>
        <v>0</v>
      </c>
      <c r="P20" s="54">
        <f>SUMIFS(statement!$I:$I,statement!$K:$K,ANALISA!$AA20, statement!$B:$B,ANALISA!P$4)</f>
        <v>0</v>
      </c>
      <c r="Q20" s="54">
        <f>SUMIFS(statement!$I:$I,statement!$K:$K,ANALISA!$AA20, statement!$B:$B,ANALISA!Q$4)</f>
        <v>0</v>
      </c>
      <c r="R20" s="54">
        <f>SUMIF(statement!$K:$K,ANALISA!AA20,statement!$J:$J)</f>
        <v>0</v>
      </c>
      <c r="S20" s="55">
        <f t="shared" si="3"/>
        <v>0</v>
      </c>
      <c r="T20" s="56">
        <f>IFERROR(VLOOKUP(S20,RK!$D$1:$E$65536,1,FALSE),0)</f>
        <v>0</v>
      </c>
      <c r="U20" s="57" t="e">
        <f>VLOOKUP(T20,RK!$D$1:$E$65536,2,FALSE)</f>
        <v>#N/A</v>
      </c>
      <c r="V20" s="58"/>
      <c r="W20" s="59" t="e">
        <f>VLOOKUP(V20,RK!$D$1:$E$65536,2,FALSE)</f>
        <v>#N/A</v>
      </c>
      <c r="X20" s="60">
        <f t="shared" si="6"/>
        <v>0</v>
      </c>
      <c r="Y20" s="55">
        <v>0</v>
      </c>
      <c r="Z20" s="55">
        <f t="shared" si="7"/>
        <v>0</v>
      </c>
      <c r="AA20" s="61">
        <v>13</v>
      </c>
      <c r="AC20" s="40">
        <f t="shared" si="4"/>
        <v>0</v>
      </c>
      <c r="AD20" s="63" t="str">
        <f>IFERROR(VLOOKUP(AB20,BDEPO!$A:$K,11,FALSE),"-")</f>
        <v>-</v>
      </c>
      <c r="AE20" s="6" t="str">
        <f t="shared" si="5"/>
        <v>DEPOSITED</v>
      </c>
      <c r="AF20" s="54">
        <f>SUMIFS(statement!$I:$I,statement!$K:$K,ANALISA!$AA20, statement!$B:$B,ANALISA!AF$4)</f>
        <v>0</v>
      </c>
      <c r="AG20" s="54">
        <f>SUMIFS(statement!$I:$I,statement!$K:$K,ANALISA!$AA20, statement!$B:$B,ANALISA!AG$4)</f>
        <v>0</v>
      </c>
      <c r="AH20" s="54">
        <f>SUMIFS(statement!$I:$I,statement!$K:$K,ANALISA!$AA20, statement!$B:$B,ANALISA!AH$4)</f>
        <v>0</v>
      </c>
      <c r="AI20" s="54">
        <f>SUMIFS(statement!$I:$I,statement!$K:$K,ANALISA!$AA20, statement!$B:$B,ANALISA!AI$4)</f>
        <v>0</v>
      </c>
      <c r="AJ20" s="54">
        <f>SUMIFS(statement!$I:$I,statement!$K:$K,ANALISA!$AA20, statement!$B:$B,ANALISA!AJ$4)</f>
        <v>0</v>
      </c>
      <c r="AK20" s="54">
        <f>SUMIFS(statement!$I:$I,statement!$K:$K,ANALISA!$AA20, statement!$B:$B,ANALISA!AK$4)</f>
        <v>0</v>
      </c>
      <c r="AL20" s="54">
        <f>SUMIFS(statement!$I:$I,statement!$K:$K,ANALISA!$AA20, statement!$B:$B,ANALISA!AL$4)</f>
        <v>0</v>
      </c>
      <c r="AM20" s="54">
        <f>SUMIFS(statement!$I:$I,statement!$K:$K,ANALISA!$AA20, statement!$B:$B,ANALISA!AM$4)</f>
        <v>0</v>
      </c>
      <c r="AN20" s="54">
        <f>SUMIFS(statement!$I:$I,statement!$K:$K,ANALISA!$AA20, statement!$B:$B,ANALISA!AN$4)</f>
        <v>0</v>
      </c>
      <c r="AO20" s="54">
        <f>SUMIFS(statement!$I:$I,statement!$K:$K,ANALISA!$AA20, statement!$B:$B,ANALISA!AO$4)</f>
        <v>0</v>
      </c>
      <c r="AP20" s="54">
        <f>SUMIFS(statement!$I:$I,statement!$K:$K,ANALISA!$AA20, statement!$B:$B,ANALISA!AP$4)</f>
        <v>0</v>
      </c>
      <c r="AQ20" s="54">
        <f>SUMIFS(statement!$I:$I,statement!$K:$K,ANALISA!$AA20, statement!$B:$B,ANALISA!AQ$4)</f>
        <v>0</v>
      </c>
      <c r="AR20" s="54">
        <f>SUMIFS(statement!$I:$I,statement!$K:$K,ANALISA!$AA20, statement!$B:$B,ANALISA!AR$4)</f>
        <v>0</v>
      </c>
      <c r="AS20" s="54">
        <f>SUMIFS(statement!$I:$I,statement!$K:$K,ANALISA!$AA20, statement!$B:$B,ANALISA!AS$4)</f>
        <v>0</v>
      </c>
      <c r="AT20" s="54">
        <f>SUMIFS(statement!$I:$I,statement!$K:$K,ANALISA!$AA20, statement!$B:$B,ANALISA!AT$4)</f>
        <v>0</v>
      </c>
      <c r="AU20" s="54">
        <f>SUMIFS(statement!$I:$I,statement!$K:$K,ANALISA!$AA20, statement!$B:$B,ANALISA!AU$4)</f>
        <v>0</v>
      </c>
      <c r="AV20" s="54">
        <f>SUMIFS(statement!$I:$I,statement!$K:$K,ANALISA!$AA20, statement!$B:$B,ANALISA!AV$4)</f>
        <v>0</v>
      </c>
      <c r="AW20" s="54">
        <f>SUMIFS(statement!$I:$I,statement!$K:$K,ANALISA!$AA20, statement!$B:$B,ANALISA!AW$4)</f>
        <v>0</v>
      </c>
      <c r="AX20" s="54">
        <f>SUMIFS(statement!$I:$I,statement!$K:$K,ANALISA!$AA20, statement!$B:$B,ANALISA!AX$4)</f>
        <v>0</v>
      </c>
    </row>
    <row r="21" spans="1:50" s="5" customFormat="1" ht="15.6" customHeight="1" x14ac:dyDescent="0.3">
      <c r="A21" s="52">
        <f t="shared" si="0"/>
        <v>46279</v>
      </c>
      <c r="B21" s="9" t="str">
        <f t="shared" si="1"/>
        <v>14-Sep-2026 Monday</v>
      </c>
      <c r="C21" s="53">
        <v>46279</v>
      </c>
      <c r="D21" s="54">
        <f>SUMIF(statement!$K:$K,ANALISA!AA21,statement!$F:$F)</f>
        <v>0</v>
      </c>
      <c r="E21" s="54">
        <f>SUMIFS(statement!$I:$I,statement!$K:$K,ANALISA!$AA21, statement!$B:$B,ANALISA!E$4)</f>
        <v>0</v>
      </c>
      <c r="F21" s="54">
        <f>SUMIFS(statement!$H:$H,statement!$K:$K,ANALISA!$AA21, statement!$B:$B,ANALISA!F$4)</f>
        <v>0</v>
      </c>
      <c r="G21" s="54">
        <f>SUMIFS(statement!$I:$I,statement!$K:$K,ANALISA!$AA21, statement!$B:$B,ANALISA!G$4)</f>
        <v>0</v>
      </c>
      <c r="H21" s="54">
        <f>SUMIFS(statement!$I:$I,statement!$K:$K,ANALISA!$AA21, statement!$B:$B,ANALISA!H$4)</f>
        <v>0</v>
      </c>
      <c r="I21" s="54">
        <f>SUMIFS(statement!$I:$I,statement!$K:$K,ANALISA!$AA21, statement!$B:$B,ANALISA!I$4)</f>
        <v>0</v>
      </c>
      <c r="J21" s="54">
        <f>SUMIFS(statement!$I:$I,statement!$K:$K,ANALISA!$AA21, statement!$B:$B,ANALISA!J$4)</f>
        <v>0</v>
      </c>
      <c r="K21" s="54">
        <f>SUMIFS(statement!$I:$I,statement!$K:$K,ANALISA!$AA21, statement!$B:$B,ANALISA!K$4)</f>
        <v>0</v>
      </c>
      <c r="L21" s="54">
        <f t="shared" si="2"/>
        <v>0</v>
      </c>
      <c r="M21" s="54">
        <f>SUMIFS(statement!$I:$I,statement!$K:$K,ANALISA!$AA21, statement!$B:$B,ANALISA!M$4)</f>
        <v>0</v>
      </c>
      <c r="N21" s="54">
        <f>SUMIFS(statement!$I:$I,statement!$K:$K,ANALISA!$AA21, statement!$B:$B,ANALISA!N$4)</f>
        <v>0</v>
      </c>
      <c r="O21" s="54">
        <f>SUMIFS(statement!$I:$I,statement!$K:$K,ANALISA!$AA21, statement!$B:$B,ANALISA!O$4)</f>
        <v>0</v>
      </c>
      <c r="P21" s="54">
        <f>SUMIFS(statement!$I:$I,statement!$K:$K,ANALISA!$AA21, statement!$B:$B,ANALISA!P$4)</f>
        <v>0</v>
      </c>
      <c r="Q21" s="54">
        <f>SUMIFS(statement!$I:$I,statement!$K:$K,ANALISA!$AA21, statement!$B:$B,ANALISA!Q$4)</f>
        <v>0</v>
      </c>
      <c r="R21" s="54">
        <f>SUMIF(statement!$K:$K,ANALISA!AA21,statement!$J:$J)</f>
        <v>0</v>
      </c>
      <c r="S21" s="55">
        <f t="shared" si="3"/>
        <v>0</v>
      </c>
      <c r="T21" s="56">
        <f>IFERROR(VLOOKUP(S21,RK!$D$1:$E$65536,1,FALSE),0)</f>
        <v>0</v>
      </c>
      <c r="U21" s="57" t="e">
        <f>VLOOKUP(T21,RK!$D$1:$E$65536,2,FALSE)</f>
        <v>#N/A</v>
      </c>
      <c r="V21" s="54"/>
      <c r="W21" s="59" t="e">
        <f>VLOOKUP(V21,RK!$D$1:$E$65536,2,FALSE)</f>
        <v>#N/A</v>
      </c>
      <c r="X21" s="60">
        <f t="shared" si="6"/>
        <v>0</v>
      </c>
      <c r="Y21" s="55">
        <v>0</v>
      </c>
      <c r="Z21" s="55">
        <f t="shared" si="7"/>
        <v>0</v>
      </c>
      <c r="AA21" s="61">
        <v>14</v>
      </c>
      <c r="AB21" s="62"/>
      <c r="AC21" s="40">
        <f t="shared" si="4"/>
        <v>0</v>
      </c>
      <c r="AD21" s="63" t="str">
        <f>IFERROR(VLOOKUP(AB21,BDEPO!$A:$K,11,FALSE),"-")</f>
        <v>-</v>
      </c>
      <c r="AE21" s="6" t="str">
        <f t="shared" si="5"/>
        <v>DEPOSITED</v>
      </c>
      <c r="AF21" s="54">
        <f>SUMIFS(statement!$I:$I,statement!$K:$K,ANALISA!$AA21, statement!$B:$B,ANALISA!AF$4)</f>
        <v>0</v>
      </c>
      <c r="AG21" s="54">
        <f>SUMIFS(statement!$I:$I,statement!$K:$K,ANALISA!$AA21, statement!$B:$B,ANALISA!AG$4)</f>
        <v>0</v>
      </c>
      <c r="AH21" s="54">
        <f>SUMIFS(statement!$I:$I,statement!$K:$K,ANALISA!$AA21, statement!$B:$B,ANALISA!AH$4)</f>
        <v>0</v>
      </c>
      <c r="AI21" s="54">
        <f>SUMIFS(statement!$I:$I,statement!$K:$K,ANALISA!$AA21, statement!$B:$B,ANALISA!AI$4)</f>
        <v>0</v>
      </c>
      <c r="AJ21" s="54">
        <f>SUMIFS(statement!$I:$I,statement!$K:$K,ANALISA!$AA21, statement!$B:$B,ANALISA!AJ$4)</f>
        <v>0</v>
      </c>
      <c r="AK21" s="54">
        <f>SUMIFS(statement!$I:$I,statement!$K:$K,ANALISA!$AA21, statement!$B:$B,ANALISA!AK$4)</f>
        <v>0</v>
      </c>
      <c r="AL21" s="54">
        <f>SUMIFS(statement!$I:$I,statement!$K:$K,ANALISA!$AA21, statement!$B:$B,ANALISA!AL$4)</f>
        <v>0</v>
      </c>
      <c r="AM21" s="54">
        <f>SUMIFS(statement!$I:$I,statement!$K:$K,ANALISA!$AA21, statement!$B:$B,ANALISA!AM$4)</f>
        <v>0</v>
      </c>
      <c r="AN21" s="54">
        <f>SUMIFS(statement!$I:$I,statement!$K:$K,ANALISA!$AA21, statement!$B:$B,ANALISA!AN$4)</f>
        <v>0</v>
      </c>
      <c r="AO21" s="54">
        <f>SUMIFS(statement!$I:$I,statement!$K:$K,ANALISA!$AA21, statement!$B:$B,ANALISA!AO$4)</f>
        <v>0</v>
      </c>
      <c r="AP21" s="54">
        <f>SUMIFS(statement!$I:$I,statement!$K:$K,ANALISA!$AA21, statement!$B:$B,ANALISA!AP$4)</f>
        <v>0</v>
      </c>
      <c r="AQ21" s="54">
        <f>SUMIFS(statement!$I:$I,statement!$K:$K,ANALISA!$AA21, statement!$B:$B,ANALISA!AQ$4)</f>
        <v>0</v>
      </c>
      <c r="AR21" s="54">
        <f>SUMIFS(statement!$I:$I,statement!$K:$K,ANALISA!$AA21, statement!$B:$B,ANALISA!AR$4)</f>
        <v>0</v>
      </c>
      <c r="AS21" s="54">
        <f>SUMIFS(statement!$I:$I,statement!$K:$K,ANALISA!$AA21, statement!$B:$B,ANALISA!AS$4)</f>
        <v>0</v>
      </c>
      <c r="AT21" s="54">
        <f>SUMIFS(statement!$I:$I,statement!$K:$K,ANALISA!$AA21, statement!$B:$B,ANALISA!AT$4)</f>
        <v>0</v>
      </c>
      <c r="AU21" s="54">
        <f>SUMIFS(statement!$I:$I,statement!$K:$K,ANALISA!$AA21, statement!$B:$B,ANALISA!AU$4)</f>
        <v>0</v>
      </c>
      <c r="AV21" s="54">
        <f>SUMIFS(statement!$I:$I,statement!$K:$K,ANALISA!$AA21, statement!$B:$B,ANALISA!AV$4)</f>
        <v>0</v>
      </c>
      <c r="AW21" s="54">
        <f>SUMIFS(statement!$I:$I,statement!$K:$K,ANALISA!$AA21, statement!$B:$B,ANALISA!AW$4)</f>
        <v>0</v>
      </c>
      <c r="AX21" s="54">
        <f>SUMIFS(statement!$I:$I,statement!$K:$K,ANALISA!$AA21, statement!$B:$B,ANALISA!AX$4)</f>
        <v>0</v>
      </c>
    </row>
    <row r="22" spans="1:50" s="5" customFormat="1" ht="15.6" customHeight="1" x14ac:dyDescent="0.3">
      <c r="A22" s="52">
        <f t="shared" si="0"/>
        <v>46280</v>
      </c>
      <c r="B22" s="9" t="str">
        <f t="shared" si="1"/>
        <v>15-Sep-2026 Tuesday</v>
      </c>
      <c r="C22" s="53">
        <v>46280</v>
      </c>
      <c r="D22" s="54">
        <f>SUMIF(statement!$K:$K,ANALISA!AA22,statement!$F:$F)</f>
        <v>0</v>
      </c>
      <c r="E22" s="54">
        <f>SUMIFS(statement!$I:$I,statement!$K:$K,ANALISA!$AA22, statement!$B:$B,ANALISA!E$4)</f>
        <v>0</v>
      </c>
      <c r="F22" s="54">
        <f>SUMIFS(statement!$H:$H,statement!$K:$K,ANALISA!$AA22, statement!$B:$B,ANALISA!F$4)</f>
        <v>0</v>
      </c>
      <c r="G22" s="54">
        <f>SUMIFS(statement!$I:$I,statement!$K:$K,ANALISA!$AA22, statement!$B:$B,ANALISA!G$4)</f>
        <v>0</v>
      </c>
      <c r="H22" s="54">
        <f>SUMIFS(statement!$I:$I,statement!$K:$K,ANALISA!$AA22, statement!$B:$B,ANALISA!H$4)</f>
        <v>0</v>
      </c>
      <c r="I22" s="54">
        <f>SUMIFS(statement!$I:$I,statement!$K:$K,ANALISA!$AA22, statement!$B:$B,ANALISA!I$4)</f>
        <v>0</v>
      </c>
      <c r="J22" s="54">
        <f>SUMIFS(statement!$I:$I,statement!$K:$K,ANALISA!$AA22, statement!$B:$B,ANALISA!J$4)</f>
        <v>0</v>
      </c>
      <c r="K22" s="54">
        <f>SUMIFS(statement!$I:$I,statement!$K:$K,ANALISA!$AA22, statement!$B:$B,ANALISA!K$4)</f>
        <v>0</v>
      </c>
      <c r="L22" s="54">
        <f t="shared" si="2"/>
        <v>0</v>
      </c>
      <c r="M22" s="54">
        <f>SUMIFS(statement!$I:$I,statement!$K:$K,ANALISA!$AA22, statement!$B:$B,ANALISA!M$4)</f>
        <v>0</v>
      </c>
      <c r="N22" s="54">
        <f>SUMIFS(statement!$I:$I,statement!$K:$K,ANALISA!$AA22, statement!$B:$B,ANALISA!N$4)</f>
        <v>0</v>
      </c>
      <c r="O22" s="54">
        <f>SUMIFS(statement!$I:$I,statement!$K:$K,ANALISA!$AA22, statement!$B:$B,ANALISA!O$4)</f>
        <v>0</v>
      </c>
      <c r="P22" s="54">
        <f>SUMIFS(statement!$I:$I,statement!$K:$K,ANALISA!$AA22, statement!$B:$B,ANALISA!P$4)</f>
        <v>0</v>
      </c>
      <c r="Q22" s="54">
        <f>SUMIFS(statement!$I:$I,statement!$K:$K,ANALISA!$AA22, statement!$B:$B,ANALISA!Q$4)</f>
        <v>0</v>
      </c>
      <c r="R22" s="54">
        <f>SUMIF(statement!$K:$K,ANALISA!AA22,statement!$J:$J)</f>
        <v>0</v>
      </c>
      <c r="S22" s="55">
        <f t="shared" si="3"/>
        <v>0</v>
      </c>
      <c r="T22" s="56">
        <f>IFERROR(VLOOKUP(S22,RK!$D$1:$E$65536,1,FALSE),0)</f>
        <v>0</v>
      </c>
      <c r="U22" s="57" t="e">
        <f>VLOOKUP(T22,RK!$D$1:$E$65536,2,FALSE)</f>
        <v>#N/A</v>
      </c>
      <c r="V22" s="58"/>
      <c r="W22" s="59" t="e">
        <f>VLOOKUP(V22,RK!$D$1:$E$65536,2,FALSE)</f>
        <v>#N/A</v>
      </c>
      <c r="X22" s="60">
        <f t="shared" si="6"/>
        <v>0</v>
      </c>
      <c r="Y22" s="55">
        <v>0</v>
      </c>
      <c r="Z22" s="55">
        <f t="shared" si="7"/>
        <v>0</v>
      </c>
      <c r="AA22" s="61">
        <v>15</v>
      </c>
      <c r="AB22" s="62"/>
      <c r="AC22" s="40">
        <f t="shared" si="4"/>
        <v>0</v>
      </c>
      <c r="AD22" s="63" t="str">
        <f>IFERROR(VLOOKUP(AB22,BDEPO!$A:$K,11,FALSE),"-")</f>
        <v>-</v>
      </c>
      <c r="AE22" s="6" t="str">
        <f t="shared" si="5"/>
        <v>DEPOSITED</v>
      </c>
      <c r="AF22" s="54">
        <f>SUMIFS(statement!$I:$I,statement!$K:$K,ANALISA!$AA22, statement!$B:$B,ANALISA!AF$4)</f>
        <v>0</v>
      </c>
      <c r="AG22" s="54">
        <f>SUMIFS(statement!$I:$I,statement!$K:$K,ANALISA!$AA22, statement!$B:$B,ANALISA!AG$4)</f>
        <v>0</v>
      </c>
      <c r="AH22" s="54">
        <f>SUMIFS(statement!$I:$I,statement!$K:$K,ANALISA!$AA22, statement!$B:$B,ANALISA!AH$4)</f>
        <v>0</v>
      </c>
      <c r="AI22" s="54">
        <f>SUMIFS(statement!$I:$I,statement!$K:$K,ANALISA!$AA22, statement!$B:$B,ANALISA!AI$4)</f>
        <v>0</v>
      </c>
      <c r="AJ22" s="54">
        <f>SUMIFS(statement!$I:$I,statement!$K:$K,ANALISA!$AA22, statement!$B:$B,ANALISA!AJ$4)</f>
        <v>0</v>
      </c>
      <c r="AK22" s="54">
        <f>SUMIFS(statement!$I:$I,statement!$K:$K,ANALISA!$AA22, statement!$B:$B,ANALISA!AK$4)</f>
        <v>0</v>
      </c>
      <c r="AL22" s="54">
        <f>SUMIFS(statement!$I:$I,statement!$K:$K,ANALISA!$AA22, statement!$B:$B,ANALISA!AL$4)</f>
        <v>0</v>
      </c>
      <c r="AM22" s="54">
        <f>SUMIFS(statement!$I:$I,statement!$K:$K,ANALISA!$AA22, statement!$B:$B,ANALISA!AM$4)</f>
        <v>0</v>
      </c>
      <c r="AN22" s="54">
        <f>SUMIFS(statement!$I:$I,statement!$K:$K,ANALISA!$AA22, statement!$B:$B,ANALISA!AN$4)</f>
        <v>0</v>
      </c>
      <c r="AO22" s="54">
        <f>SUMIFS(statement!$I:$I,statement!$K:$K,ANALISA!$AA22, statement!$B:$B,ANALISA!AO$4)</f>
        <v>0</v>
      </c>
      <c r="AP22" s="54">
        <f>SUMIFS(statement!$I:$I,statement!$K:$K,ANALISA!$AA22, statement!$B:$B,ANALISA!AP$4)</f>
        <v>0</v>
      </c>
      <c r="AQ22" s="54">
        <f>SUMIFS(statement!$I:$I,statement!$K:$K,ANALISA!$AA22, statement!$B:$B,ANALISA!AQ$4)</f>
        <v>0</v>
      </c>
      <c r="AR22" s="54">
        <f>SUMIFS(statement!$I:$I,statement!$K:$K,ANALISA!$AA22, statement!$B:$B,ANALISA!AR$4)</f>
        <v>0</v>
      </c>
      <c r="AS22" s="54">
        <f>SUMIFS(statement!$I:$I,statement!$K:$K,ANALISA!$AA22, statement!$B:$B,ANALISA!AS$4)</f>
        <v>0</v>
      </c>
      <c r="AT22" s="54">
        <f>SUMIFS(statement!$I:$I,statement!$K:$K,ANALISA!$AA22, statement!$B:$B,ANALISA!AT$4)</f>
        <v>0</v>
      </c>
      <c r="AU22" s="54">
        <f>SUMIFS(statement!$I:$I,statement!$K:$K,ANALISA!$AA22, statement!$B:$B,ANALISA!AU$4)</f>
        <v>0</v>
      </c>
      <c r="AV22" s="54">
        <f>SUMIFS(statement!$I:$I,statement!$K:$K,ANALISA!$AA22, statement!$B:$B,ANALISA!AV$4)</f>
        <v>0</v>
      </c>
      <c r="AW22" s="54">
        <f>SUMIFS(statement!$I:$I,statement!$K:$K,ANALISA!$AA22, statement!$B:$B,ANALISA!AW$4)</f>
        <v>0</v>
      </c>
      <c r="AX22" s="54">
        <f>SUMIFS(statement!$I:$I,statement!$K:$K,ANALISA!$AA22, statement!$B:$B,ANALISA!AX$4)</f>
        <v>0</v>
      </c>
    </row>
    <row r="23" spans="1:50" ht="15.6" customHeight="1" x14ac:dyDescent="0.3">
      <c r="A23" s="52">
        <f t="shared" si="0"/>
        <v>46281</v>
      </c>
      <c r="B23" s="9" t="str">
        <f t="shared" si="1"/>
        <v>16-Sep-2026 Wednesday</v>
      </c>
      <c r="C23" s="53">
        <v>46281</v>
      </c>
      <c r="D23" s="54">
        <f>SUMIF(statement!$K:$K,ANALISA!AA23,statement!$F:$F)</f>
        <v>0</v>
      </c>
      <c r="E23" s="54">
        <f>SUMIFS(statement!$I:$I,statement!$K:$K,ANALISA!$AA23, statement!$B:$B,ANALISA!E$4)</f>
        <v>0</v>
      </c>
      <c r="F23" s="54">
        <f>SUMIFS(statement!$H:$H,statement!$K:$K,ANALISA!$AA23, statement!$B:$B,ANALISA!F$4)</f>
        <v>0</v>
      </c>
      <c r="G23" s="54">
        <f>SUMIFS(statement!$I:$I,statement!$K:$K,ANALISA!$AA23, statement!$B:$B,ANALISA!G$4)</f>
        <v>0</v>
      </c>
      <c r="H23" s="54">
        <f>SUMIFS(statement!$I:$I,statement!$K:$K,ANALISA!$AA23, statement!$B:$B,ANALISA!H$4)</f>
        <v>0</v>
      </c>
      <c r="I23" s="54">
        <f>SUMIFS(statement!$I:$I,statement!$K:$K,ANALISA!$AA23, statement!$B:$B,ANALISA!I$4)</f>
        <v>0</v>
      </c>
      <c r="J23" s="54">
        <f>SUMIFS(statement!$I:$I,statement!$K:$K,ANALISA!$AA23, statement!$B:$B,ANALISA!J$4)</f>
        <v>0</v>
      </c>
      <c r="K23" s="54">
        <f>SUMIFS(statement!$I:$I,statement!$K:$K,ANALISA!$AA23, statement!$B:$B,ANALISA!K$4)</f>
        <v>0</v>
      </c>
      <c r="L23" s="54">
        <f t="shared" si="2"/>
        <v>0</v>
      </c>
      <c r="M23" s="54">
        <f>SUMIFS(statement!$I:$I,statement!$K:$K,ANALISA!$AA23, statement!$B:$B,ANALISA!M$4)</f>
        <v>0</v>
      </c>
      <c r="N23" s="54">
        <f>SUMIFS(statement!$I:$I,statement!$K:$K,ANALISA!$AA23, statement!$B:$B,ANALISA!N$4)</f>
        <v>0</v>
      </c>
      <c r="O23" s="54">
        <f>SUMIFS(statement!$I:$I,statement!$K:$K,ANALISA!$AA23, statement!$B:$B,ANALISA!O$4)</f>
        <v>0</v>
      </c>
      <c r="P23" s="54">
        <f>SUMIFS(statement!$I:$I,statement!$K:$K,ANALISA!$AA23, statement!$B:$B,ANALISA!P$4)</f>
        <v>0</v>
      </c>
      <c r="Q23" s="54">
        <f>SUMIFS(statement!$I:$I,statement!$K:$K,ANALISA!$AA23, statement!$B:$B,ANALISA!Q$4)</f>
        <v>0</v>
      </c>
      <c r="R23" s="54">
        <f>SUMIF(statement!$K:$K,ANALISA!AA23,statement!$J:$J)</f>
        <v>0</v>
      </c>
      <c r="S23" s="55">
        <f t="shared" si="3"/>
        <v>0</v>
      </c>
      <c r="T23" s="56">
        <f>IFERROR(VLOOKUP(S23,RK!$D$1:$E$65536,1,FALSE),0)</f>
        <v>0</v>
      </c>
      <c r="U23" s="57" t="e">
        <f>VLOOKUP(T23,RK!$D$1:$E$65536,2,FALSE)</f>
        <v>#N/A</v>
      </c>
      <c r="V23" s="58"/>
      <c r="W23" s="59" t="e">
        <f>VLOOKUP(V23,RK!$D$1:$E$65536,2,FALSE)</f>
        <v>#N/A</v>
      </c>
      <c r="X23" s="60">
        <f t="shared" si="6"/>
        <v>0</v>
      </c>
      <c r="Y23" s="55">
        <v>0</v>
      </c>
      <c r="Z23" s="55">
        <f t="shared" si="7"/>
        <v>0</v>
      </c>
      <c r="AA23" s="61">
        <v>16</v>
      </c>
      <c r="AC23" s="40">
        <f t="shared" si="4"/>
        <v>0</v>
      </c>
      <c r="AD23" s="63" t="str">
        <f>IFERROR(VLOOKUP(AB23,BDEPO!$A:$K,11,FALSE),"-")</f>
        <v>-</v>
      </c>
      <c r="AE23" s="6" t="str">
        <f t="shared" si="5"/>
        <v>DEPOSITED</v>
      </c>
      <c r="AF23" s="54">
        <f>SUMIFS(statement!$I:$I,statement!$K:$K,ANALISA!$AA23, statement!$B:$B,ANALISA!AF$4)</f>
        <v>0</v>
      </c>
      <c r="AG23" s="54">
        <f>SUMIFS(statement!$I:$I,statement!$K:$K,ANALISA!$AA23, statement!$B:$B,ANALISA!AG$4)</f>
        <v>0</v>
      </c>
      <c r="AH23" s="54">
        <f>SUMIFS(statement!$I:$I,statement!$K:$K,ANALISA!$AA23, statement!$B:$B,ANALISA!AH$4)</f>
        <v>0</v>
      </c>
      <c r="AI23" s="54">
        <f>SUMIFS(statement!$I:$I,statement!$K:$K,ANALISA!$AA23, statement!$B:$B,ANALISA!AI$4)</f>
        <v>0</v>
      </c>
      <c r="AJ23" s="54">
        <f>SUMIFS(statement!$I:$I,statement!$K:$K,ANALISA!$AA23, statement!$B:$B,ANALISA!AJ$4)</f>
        <v>0</v>
      </c>
      <c r="AK23" s="54">
        <f>SUMIFS(statement!$I:$I,statement!$K:$K,ANALISA!$AA23, statement!$B:$B,ANALISA!AK$4)</f>
        <v>0</v>
      </c>
      <c r="AL23" s="54">
        <f>SUMIFS(statement!$I:$I,statement!$K:$K,ANALISA!$AA23, statement!$B:$B,ANALISA!AL$4)</f>
        <v>0</v>
      </c>
      <c r="AM23" s="54">
        <f>SUMIFS(statement!$I:$I,statement!$K:$K,ANALISA!$AA23, statement!$B:$B,ANALISA!AM$4)</f>
        <v>0</v>
      </c>
      <c r="AN23" s="54">
        <f>SUMIFS(statement!$I:$I,statement!$K:$K,ANALISA!$AA23, statement!$B:$B,ANALISA!AN$4)</f>
        <v>0</v>
      </c>
      <c r="AO23" s="54">
        <f>SUMIFS(statement!$I:$I,statement!$K:$K,ANALISA!$AA23, statement!$B:$B,ANALISA!AO$4)</f>
        <v>0</v>
      </c>
      <c r="AP23" s="54">
        <f>SUMIFS(statement!$I:$I,statement!$K:$K,ANALISA!$AA23, statement!$B:$B,ANALISA!AP$4)</f>
        <v>0</v>
      </c>
      <c r="AQ23" s="54">
        <f>SUMIFS(statement!$I:$I,statement!$K:$K,ANALISA!$AA23, statement!$B:$B,ANALISA!AQ$4)</f>
        <v>0</v>
      </c>
      <c r="AR23" s="54">
        <f>SUMIFS(statement!$I:$I,statement!$K:$K,ANALISA!$AA23, statement!$B:$B,ANALISA!AR$4)</f>
        <v>0</v>
      </c>
      <c r="AS23" s="54">
        <f>SUMIFS(statement!$I:$I,statement!$K:$K,ANALISA!$AA23, statement!$B:$B,ANALISA!AS$4)</f>
        <v>0</v>
      </c>
      <c r="AT23" s="54">
        <f>SUMIFS(statement!$I:$I,statement!$K:$K,ANALISA!$AA23, statement!$B:$B,ANALISA!AT$4)</f>
        <v>0</v>
      </c>
      <c r="AU23" s="54">
        <f>SUMIFS(statement!$I:$I,statement!$K:$K,ANALISA!$AA23, statement!$B:$B,ANALISA!AU$4)</f>
        <v>0</v>
      </c>
      <c r="AV23" s="54">
        <f>SUMIFS(statement!$I:$I,statement!$K:$K,ANALISA!$AA23, statement!$B:$B,ANALISA!AV$4)</f>
        <v>0</v>
      </c>
      <c r="AW23" s="54">
        <f>SUMIFS(statement!$I:$I,statement!$K:$K,ANALISA!$AA23, statement!$B:$B,ANALISA!AW$4)</f>
        <v>0</v>
      </c>
      <c r="AX23" s="54">
        <f>SUMIFS(statement!$I:$I,statement!$K:$K,ANALISA!$AA23, statement!$B:$B,ANALISA!AX$4)</f>
        <v>0</v>
      </c>
    </row>
    <row r="24" spans="1:50" ht="15.6" customHeight="1" x14ac:dyDescent="0.3">
      <c r="A24" s="52">
        <f t="shared" si="0"/>
        <v>46282</v>
      </c>
      <c r="B24" s="9" t="str">
        <f t="shared" si="1"/>
        <v>17-Sep-2026 Thursday</v>
      </c>
      <c r="C24" s="53">
        <v>46282</v>
      </c>
      <c r="D24" s="54">
        <f>SUMIF(statement!$K:$K,ANALISA!AA24,statement!$F:$F)</f>
        <v>0</v>
      </c>
      <c r="E24" s="54">
        <f>SUMIFS(statement!$I:$I,statement!$K:$K,ANALISA!$AA24, statement!$B:$B,ANALISA!E$4)</f>
        <v>0</v>
      </c>
      <c r="F24" s="54">
        <f>SUMIFS(statement!$H:$H,statement!$K:$K,ANALISA!$AA24, statement!$B:$B,ANALISA!F$4)</f>
        <v>0</v>
      </c>
      <c r="G24" s="54">
        <f>SUMIFS(statement!$I:$I,statement!$K:$K,ANALISA!$AA24, statement!$B:$B,ANALISA!G$4)</f>
        <v>0</v>
      </c>
      <c r="H24" s="54">
        <f>SUMIFS(statement!$I:$I,statement!$K:$K,ANALISA!$AA24, statement!$B:$B,ANALISA!H$4)</f>
        <v>0</v>
      </c>
      <c r="I24" s="54">
        <f>SUMIFS(statement!$I:$I,statement!$K:$K,ANALISA!$AA24, statement!$B:$B,ANALISA!I$4)</f>
        <v>0</v>
      </c>
      <c r="J24" s="54">
        <f>SUMIFS(statement!$I:$I,statement!$K:$K,ANALISA!$AA24, statement!$B:$B,ANALISA!J$4)</f>
        <v>0</v>
      </c>
      <c r="K24" s="54">
        <f>SUMIFS(statement!$I:$I,statement!$K:$K,ANALISA!$AA24, statement!$B:$B,ANALISA!K$4)</f>
        <v>0</v>
      </c>
      <c r="L24" s="54">
        <f t="shared" si="2"/>
        <v>0</v>
      </c>
      <c r="M24" s="54">
        <f>SUMIFS(statement!$I:$I,statement!$K:$K,ANALISA!$AA24, statement!$B:$B,ANALISA!M$4)</f>
        <v>0</v>
      </c>
      <c r="N24" s="54">
        <f>SUMIFS(statement!$I:$I,statement!$K:$K,ANALISA!$AA24, statement!$B:$B,ANALISA!N$4)</f>
        <v>0</v>
      </c>
      <c r="O24" s="54">
        <f>SUMIFS(statement!$I:$I,statement!$K:$K,ANALISA!$AA24, statement!$B:$B,ANALISA!O$4)</f>
        <v>0</v>
      </c>
      <c r="P24" s="54">
        <f>SUMIFS(statement!$I:$I,statement!$K:$K,ANALISA!$AA24, statement!$B:$B,ANALISA!P$4)</f>
        <v>0</v>
      </c>
      <c r="Q24" s="54">
        <f>SUMIFS(statement!$I:$I,statement!$K:$K,ANALISA!$AA24, statement!$B:$B,ANALISA!Q$4)</f>
        <v>0</v>
      </c>
      <c r="R24" s="54">
        <f>SUMIF(statement!$K:$K,ANALISA!AA24,statement!$J:$J)</f>
        <v>0</v>
      </c>
      <c r="S24" s="55">
        <f t="shared" si="3"/>
        <v>0</v>
      </c>
      <c r="T24" s="56">
        <f>IFERROR(VLOOKUP(S24,RK!$D$1:$E$65536,1,FALSE),0)</f>
        <v>0</v>
      </c>
      <c r="U24" s="57" t="e">
        <f>VLOOKUP(T24,RK!$D$1:$E$65536,2,FALSE)</f>
        <v>#N/A</v>
      </c>
      <c r="V24" s="58"/>
      <c r="W24" s="59" t="e">
        <f>VLOOKUP(V24,RK!$D$1:$E$65536,2,FALSE)</f>
        <v>#N/A</v>
      </c>
      <c r="X24" s="60">
        <f t="shared" si="6"/>
        <v>0</v>
      </c>
      <c r="Y24" s="55">
        <v>0</v>
      </c>
      <c r="Z24" s="55">
        <f t="shared" si="7"/>
        <v>0</v>
      </c>
      <c r="AA24" s="61">
        <v>17</v>
      </c>
      <c r="AC24" s="40">
        <f t="shared" si="4"/>
        <v>0</v>
      </c>
      <c r="AD24" s="63" t="str">
        <f>IFERROR(VLOOKUP(AB24,BDEPO!$A:$K,11,FALSE),"-")</f>
        <v>-</v>
      </c>
      <c r="AE24" s="6" t="str">
        <f t="shared" si="5"/>
        <v>DEPOSITED</v>
      </c>
      <c r="AF24" s="54">
        <f>SUMIFS(statement!$I:$I,statement!$K:$K,ANALISA!$AA24, statement!$B:$B,ANALISA!AF$4)</f>
        <v>0</v>
      </c>
      <c r="AG24" s="54">
        <f>SUMIFS(statement!$I:$I,statement!$K:$K,ANALISA!$AA24, statement!$B:$B,ANALISA!AG$4)</f>
        <v>0</v>
      </c>
      <c r="AH24" s="54">
        <f>SUMIFS(statement!$I:$I,statement!$K:$K,ANALISA!$AA24, statement!$B:$B,ANALISA!AH$4)</f>
        <v>0</v>
      </c>
      <c r="AI24" s="54">
        <f>SUMIFS(statement!$I:$I,statement!$K:$K,ANALISA!$AA24, statement!$B:$B,ANALISA!AI$4)</f>
        <v>0</v>
      </c>
      <c r="AJ24" s="54">
        <f>SUMIFS(statement!$I:$I,statement!$K:$K,ANALISA!$AA24, statement!$B:$B,ANALISA!AJ$4)</f>
        <v>0</v>
      </c>
      <c r="AK24" s="54">
        <f>SUMIFS(statement!$I:$I,statement!$K:$K,ANALISA!$AA24, statement!$B:$B,ANALISA!AK$4)</f>
        <v>0</v>
      </c>
      <c r="AL24" s="54">
        <f>SUMIFS(statement!$I:$I,statement!$K:$K,ANALISA!$AA24, statement!$B:$B,ANALISA!AL$4)</f>
        <v>0</v>
      </c>
      <c r="AM24" s="54">
        <f>SUMIFS(statement!$I:$I,statement!$K:$K,ANALISA!$AA24, statement!$B:$B,ANALISA!AM$4)</f>
        <v>0</v>
      </c>
      <c r="AN24" s="54">
        <f>SUMIFS(statement!$I:$I,statement!$K:$K,ANALISA!$AA24, statement!$B:$B,ANALISA!AN$4)</f>
        <v>0</v>
      </c>
      <c r="AO24" s="54">
        <f>SUMIFS(statement!$I:$I,statement!$K:$K,ANALISA!$AA24, statement!$B:$B,ANALISA!AO$4)</f>
        <v>0</v>
      </c>
      <c r="AP24" s="54">
        <f>SUMIFS(statement!$I:$I,statement!$K:$K,ANALISA!$AA24, statement!$B:$B,ANALISA!AP$4)</f>
        <v>0</v>
      </c>
      <c r="AQ24" s="54">
        <f>SUMIFS(statement!$I:$I,statement!$K:$K,ANALISA!$AA24, statement!$B:$B,ANALISA!AQ$4)</f>
        <v>0</v>
      </c>
      <c r="AR24" s="54">
        <f>SUMIFS(statement!$I:$I,statement!$K:$K,ANALISA!$AA24, statement!$B:$B,ANALISA!AR$4)</f>
        <v>0</v>
      </c>
      <c r="AS24" s="54">
        <f>SUMIFS(statement!$I:$I,statement!$K:$K,ANALISA!$AA24, statement!$B:$B,ANALISA!AS$4)</f>
        <v>0</v>
      </c>
      <c r="AT24" s="54">
        <f>SUMIFS(statement!$I:$I,statement!$K:$K,ANALISA!$AA24, statement!$B:$B,ANALISA!AT$4)</f>
        <v>0</v>
      </c>
      <c r="AU24" s="54">
        <f>SUMIFS(statement!$I:$I,statement!$K:$K,ANALISA!$AA24, statement!$B:$B,ANALISA!AU$4)</f>
        <v>0</v>
      </c>
      <c r="AV24" s="54">
        <f>SUMIFS(statement!$I:$I,statement!$K:$K,ANALISA!$AA24, statement!$B:$B,ANALISA!AV$4)</f>
        <v>0</v>
      </c>
      <c r="AW24" s="54">
        <f>SUMIFS(statement!$I:$I,statement!$K:$K,ANALISA!$AA24, statement!$B:$B,ANALISA!AW$4)</f>
        <v>0</v>
      </c>
      <c r="AX24" s="54">
        <f>SUMIFS(statement!$I:$I,statement!$K:$K,ANALISA!$AA24, statement!$B:$B,ANALISA!AX$4)</f>
        <v>0</v>
      </c>
    </row>
    <row r="25" spans="1:50" ht="15.6" customHeight="1" x14ac:dyDescent="0.3">
      <c r="A25" s="52">
        <f t="shared" si="0"/>
        <v>46283</v>
      </c>
      <c r="B25" s="9" t="str">
        <f t="shared" si="1"/>
        <v>18-Sep-2026 Friday</v>
      </c>
      <c r="C25" s="53">
        <v>46283</v>
      </c>
      <c r="D25" s="54">
        <f>SUMIF(statement!$K:$K,ANALISA!AA25,statement!$F:$F)</f>
        <v>0</v>
      </c>
      <c r="E25" s="54">
        <f>SUMIFS(statement!$I:$I,statement!$K:$K,ANALISA!$AA25, statement!$B:$B,ANALISA!E$4)</f>
        <v>0</v>
      </c>
      <c r="F25" s="54">
        <f>SUMIFS(statement!$H:$H,statement!$K:$K,ANALISA!$AA25, statement!$B:$B,ANALISA!F$4)</f>
        <v>0</v>
      </c>
      <c r="G25" s="54">
        <f>SUMIFS(statement!$I:$I,statement!$K:$K,ANALISA!$AA25, statement!$B:$B,ANALISA!G$4)</f>
        <v>0</v>
      </c>
      <c r="H25" s="54">
        <f>SUMIFS(statement!$I:$I,statement!$K:$K,ANALISA!$AA25, statement!$B:$B,ANALISA!H$4)</f>
        <v>0</v>
      </c>
      <c r="I25" s="54">
        <f>SUMIFS(statement!$I:$I,statement!$K:$K,ANALISA!$AA25, statement!$B:$B,ANALISA!I$4)</f>
        <v>0</v>
      </c>
      <c r="J25" s="54">
        <f>SUMIFS(statement!$I:$I,statement!$K:$K,ANALISA!$AA25, statement!$B:$B,ANALISA!J$4)</f>
        <v>0</v>
      </c>
      <c r="K25" s="54">
        <f>SUMIFS(statement!$I:$I,statement!$K:$K,ANALISA!$AA25, statement!$B:$B,ANALISA!K$4)</f>
        <v>0</v>
      </c>
      <c r="L25" s="54">
        <f t="shared" si="2"/>
        <v>0</v>
      </c>
      <c r="M25" s="54">
        <f>SUMIFS(statement!$I:$I,statement!$K:$K,ANALISA!$AA25, statement!$B:$B,ANALISA!M$4)</f>
        <v>0</v>
      </c>
      <c r="N25" s="54">
        <f>SUMIFS(statement!$I:$I,statement!$K:$K,ANALISA!$AA25, statement!$B:$B,ANALISA!N$4)</f>
        <v>0</v>
      </c>
      <c r="O25" s="54">
        <f>SUMIFS(statement!$I:$I,statement!$K:$K,ANALISA!$AA25, statement!$B:$B,ANALISA!O$4)</f>
        <v>0</v>
      </c>
      <c r="P25" s="54">
        <f>SUMIFS(statement!$I:$I,statement!$K:$K,ANALISA!$AA25, statement!$B:$B,ANALISA!P$4)</f>
        <v>0</v>
      </c>
      <c r="Q25" s="54">
        <f>SUMIFS(statement!$I:$I,statement!$K:$K,ANALISA!$AA25, statement!$B:$B,ANALISA!Q$4)</f>
        <v>0</v>
      </c>
      <c r="R25" s="54">
        <f>SUMIF(statement!$K:$K,ANALISA!AA25,statement!$J:$J)</f>
        <v>0</v>
      </c>
      <c r="S25" s="55">
        <f t="shared" si="3"/>
        <v>0</v>
      </c>
      <c r="T25" s="56">
        <f>IFERROR(VLOOKUP(S25,RK!$D$1:$E$65536,1,FALSE),0)</f>
        <v>0</v>
      </c>
      <c r="U25" s="57" t="e">
        <f>VLOOKUP(T25,RK!$D$1:$E$65536,2,FALSE)</f>
        <v>#N/A</v>
      </c>
      <c r="V25" s="58"/>
      <c r="W25" s="59" t="e">
        <f>VLOOKUP(V25,RK!$D$1:$E$65536,2,FALSE)</f>
        <v>#N/A</v>
      </c>
      <c r="X25" s="60">
        <f t="shared" si="6"/>
        <v>0</v>
      </c>
      <c r="Y25" s="55">
        <v>0</v>
      </c>
      <c r="Z25" s="55">
        <f t="shared" si="7"/>
        <v>0</v>
      </c>
      <c r="AA25" s="61">
        <v>18</v>
      </c>
      <c r="AC25" s="40">
        <f t="shared" si="4"/>
        <v>0</v>
      </c>
      <c r="AD25" s="63" t="str">
        <f>IFERROR(VLOOKUP(AB25,BDEPO!$A:$K,11,FALSE),"-")</f>
        <v>-</v>
      </c>
      <c r="AE25" s="6" t="str">
        <f t="shared" si="5"/>
        <v>DEPOSITED</v>
      </c>
      <c r="AF25" s="54">
        <f>SUMIFS(statement!$I:$I,statement!$K:$K,ANALISA!$AA25, statement!$B:$B,ANALISA!AF$4)</f>
        <v>0</v>
      </c>
      <c r="AG25" s="54">
        <f>SUMIFS(statement!$I:$I,statement!$K:$K,ANALISA!$AA25, statement!$B:$B,ANALISA!AG$4)</f>
        <v>0</v>
      </c>
      <c r="AH25" s="54">
        <f>SUMIFS(statement!$I:$I,statement!$K:$K,ANALISA!$AA25, statement!$B:$B,ANALISA!AH$4)</f>
        <v>0</v>
      </c>
      <c r="AI25" s="54">
        <f>SUMIFS(statement!$I:$I,statement!$K:$K,ANALISA!$AA25, statement!$B:$B,ANALISA!AI$4)</f>
        <v>0</v>
      </c>
      <c r="AJ25" s="54">
        <f>SUMIFS(statement!$I:$I,statement!$K:$K,ANALISA!$AA25, statement!$B:$B,ANALISA!AJ$4)</f>
        <v>0</v>
      </c>
      <c r="AK25" s="54">
        <f>SUMIFS(statement!$I:$I,statement!$K:$K,ANALISA!$AA25, statement!$B:$B,ANALISA!AK$4)</f>
        <v>0</v>
      </c>
      <c r="AL25" s="54">
        <f>SUMIFS(statement!$I:$I,statement!$K:$K,ANALISA!$AA25, statement!$B:$B,ANALISA!AL$4)</f>
        <v>0</v>
      </c>
      <c r="AM25" s="54">
        <f>SUMIFS(statement!$I:$I,statement!$K:$K,ANALISA!$AA25, statement!$B:$B,ANALISA!AM$4)</f>
        <v>0</v>
      </c>
      <c r="AN25" s="54">
        <f>SUMIFS(statement!$I:$I,statement!$K:$K,ANALISA!$AA25, statement!$B:$B,ANALISA!AN$4)</f>
        <v>0</v>
      </c>
      <c r="AO25" s="54">
        <f>SUMIFS(statement!$I:$I,statement!$K:$K,ANALISA!$AA25, statement!$B:$B,ANALISA!AO$4)</f>
        <v>0</v>
      </c>
      <c r="AP25" s="54">
        <f>SUMIFS(statement!$I:$I,statement!$K:$K,ANALISA!$AA25, statement!$B:$B,ANALISA!AP$4)</f>
        <v>0</v>
      </c>
      <c r="AQ25" s="54">
        <f>SUMIFS(statement!$I:$I,statement!$K:$K,ANALISA!$AA25, statement!$B:$B,ANALISA!AQ$4)</f>
        <v>0</v>
      </c>
      <c r="AR25" s="54">
        <f>SUMIFS(statement!$I:$I,statement!$K:$K,ANALISA!$AA25, statement!$B:$B,ANALISA!AR$4)</f>
        <v>0</v>
      </c>
      <c r="AS25" s="54">
        <f>SUMIFS(statement!$I:$I,statement!$K:$K,ANALISA!$AA25, statement!$B:$B,ANALISA!AS$4)</f>
        <v>0</v>
      </c>
      <c r="AT25" s="54">
        <f>SUMIFS(statement!$I:$I,statement!$K:$K,ANALISA!$AA25, statement!$B:$B,ANALISA!AT$4)</f>
        <v>0</v>
      </c>
      <c r="AU25" s="54">
        <f>SUMIFS(statement!$I:$I,statement!$K:$K,ANALISA!$AA25, statement!$B:$B,ANALISA!AU$4)</f>
        <v>0</v>
      </c>
      <c r="AV25" s="54">
        <f>SUMIFS(statement!$I:$I,statement!$K:$K,ANALISA!$AA25, statement!$B:$B,ANALISA!AV$4)</f>
        <v>0</v>
      </c>
      <c r="AW25" s="54">
        <f>SUMIFS(statement!$I:$I,statement!$K:$K,ANALISA!$AA25, statement!$B:$B,ANALISA!AW$4)</f>
        <v>0</v>
      </c>
      <c r="AX25" s="54">
        <f>SUMIFS(statement!$I:$I,statement!$K:$K,ANALISA!$AA25, statement!$B:$B,ANALISA!AX$4)</f>
        <v>0</v>
      </c>
    </row>
    <row r="26" spans="1:50" ht="15.6" customHeight="1" x14ac:dyDescent="0.3">
      <c r="A26" s="52">
        <f t="shared" si="0"/>
        <v>46284</v>
      </c>
      <c r="B26" s="9" t="str">
        <f t="shared" si="1"/>
        <v>19-Sep-2026 Saturday</v>
      </c>
      <c r="C26" s="53">
        <v>46284</v>
      </c>
      <c r="D26" s="54">
        <f>SUMIF(statement!$K:$K,ANALISA!AA26,statement!$F:$F)</f>
        <v>0</v>
      </c>
      <c r="E26" s="54">
        <f>SUMIFS(statement!$I:$I,statement!$K:$K,ANALISA!$AA26, statement!$B:$B,ANALISA!E$4)</f>
        <v>0</v>
      </c>
      <c r="F26" s="54">
        <f>SUMIFS(statement!$H:$H,statement!$K:$K,ANALISA!$AA26, statement!$B:$B,ANALISA!F$4)</f>
        <v>0</v>
      </c>
      <c r="G26" s="54">
        <f>SUMIFS(statement!$I:$I,statement!$K:$K,ANALISA!$AA26, statement!$B:$B,ANALISA!G$4)</f>
        <v>0</v>
      </c>
      <c r="H26" s="54">
        <f>SUMIFS(statement!$I:$I,statement!$K:$K,ANALISA!$AA26, statement!$B:$B,ANALISA!H$4)</f>
        <v>0</v>
      </c>
      <c r="I26" s="54">
        <f>SUMIFS(statement!$I:$I,statement!$K:$K,ANALISA!$AA26, statement!$B:$B,ANALISA!I$4)</f>
        <v>0</v>
      </c>
      <c r="J26" s="54">
        <f>SUMIFS(statement!$I:$I,statement!$K:$K,ANALISA!$AA26, statement!$B:$B,ANALISA!J$4)</f>
        <v>0</v>
      </c>
      <c r="K26" s="54">
        <f>SUMIFS(statement!$I:$I,statement!$K:$K,ANALISA!$AA26, statement!$B:$B,ANALISA!K$4)</f>
        <v>0</v>
      </c>
      <c r="L26" s="54">
        <f t="shared" si="2"/>
        <v>0</v>
      </c>
      <c r="M26" s="54">
        <f>SUMIFS(statement!$I:$I,statement!$K:$K,ANALISA!$AA26, statement!$B:$B,ANALISA!M$4)</f>
        <v>0</v>
      </c>
      <c r="N26" s="54">
        <f>SUMIFS(statement!$I:$I,statement!$K:$K,ANALISA!$AA26, statement!$B:$B,ANALISA!N$4)</f>
        <v>0</v>
      </c>
      <c r="O26" s="54">
        <f>SUMIFS(statement!$I:$I,statement!$K:$K,ANALISA!$AA26, statement!$B:$B,ANALISA!O$4)</f>
        <v>0</v>
      </c>
      <c r="P26" s="54">
        <f>SUMIFS(statement!$I:$I,statement!$K:$K,ANALISA!$AA26, statement!$B:$B,ANALISA!P$4)</f>
        <v>0</v>
      </c>
      <c r="Q26" s="54">
        <f>SUMIFS(statement!$I:$I,statement!$K:$K,ANALISA!$AA26, statement!$B:$B,ANALISA!Q$4)</f>
        <v>0</v>
      </c>
      <c r="R26" s="54">
        <f>SUMIF(statement!$K:$K,ANALISA!AA26,statement!$J:$J)</f>
        <v>0</v>
      </c>
      <c r="S26" s="55">
        <f t="shared" si="3"/>
        <v>0</v>
      </c>
      <c r="T26" s="56">
        <f>IFERROR(VLOOKUP(S26,RK!$D$1:$E$65536,1,FALSE),0)</f>
        <v>0</v>
      </c>
      <c r="U26" s="57" t="e">
        <f>VLOOKUP(T26,RK!$D$1:$E$65536,2,FALSE)</f>
        <v>#N/A</v>
      </c>
      <c r="V26" s="58"/>
      <c r="W26" s="59" t="e">
        <f>VLOOKUP(V26,RK!$D$1:$E$65536,2,FALSE)</f>
        <v>#N/A</v>
      </c>
      <c r="X26" s="60">
        <f t="shared" si="6"/>
        <v>0</v>
      </c>
      <c r="Y26" s="55">
        <v>0</v>
      </c>
      <c r="Z26" s="55">
        <f t="shared" si="7"/>
        <v>0</v>
      </c>
      <c r="AA26" s="61">
        <v>19</v>
      </c>
      <c r="AC26" s="40">
        <f t="shared" si="4"/>
        <v>0</v>
      </c>
      <c r="AD26" s="63" t="str">
        <f>IFERROR(VLOOKUP(AB26,BDEPO!$A:$K,11,FALSE),"-")</f>
        <v>-</v>
      </c>
      <c r="AE26" s="6" t="str">
        <f t="shared" si="5"/>
        <v>DEPOSITED</v>
      </c>
      <c r="AF26" s="54">
        <f>SUMIFS(statement!$I:$I,statement!$K:$K,ANALISA!$AA26, statement!$B:$B,ANALISA!AF$4)</f>
        <v>0</v>
      </c>
      <c r="AG26" s="54">
        <f>SUMIFS(statement!$I:$I,statement!$K:$K,ANALISA!$AA26, statement!$B:$B,ANALISA!AG$4)</f>
        <v>0</v>
      </c>
      <c r="AH26" s="54">
        <f>SUMIFS(statement!$I:$I,statement!$K:$K,ANALISA!$AA26, statement!$B:$B,ANALISA!AH$4)</f>
        <v>0</v>
      </c>
      <c r="AI26" s="54">
        <f>SUMIFS(statement!$I:$I,statement!$K:$K,ANALISA!$AA26, statement!$B:$B,ANALISA!AI$4)</f>
        <v>0</v>
      </c>
      <c r="AJ26" s="54">
        <f>SUMIFS(statement!$I:$I,statement!$K:$K,ANALISA!$AA26, statement!$B:$B,ANALISA!AJ$4)</f>
        <v>0</v>
      </c>
      <c r="AK26" s="54">
        <f>SUMIFS(statement!$I:$I,statement!$K:$K,ANALISA!$AA26, statement!$B:$B,ANALISA!AK$4)</f>
        <v>0</v>
      </c>
      <c r="AL26" s="54">
        <f>SUMIFS(statement!$I:$I,statement!$K:$K,ANALISA!$AA26, statement!$B:$B,ANALISA!AL$4)</f>
        <v>0</v>
      </c>
      <c r="AM26" s="54">
        <f>SUMIFS(statement!$I:$I,statement!$K:$K,ANALISA!$AA26, statement!$B:$B,ANALISA!AM$4)</f>
        <v>0</v>
      </c>
      <c r="AN26" s="54">
        <f>SUMIFS(statement!$I:$I,statement!$K:$K,ANALISA!$AA26, statement!$B:$B,ANALISA!AN$4)</f>
        <v>0</v>
      </c>
      <c r="AO26" s="54">
        <f>SUMIFS(statement!$I:$I,statement!$K:$K,ANALISA!$AA26, statement!$B:$B,ANALISA!AO$4)</f>
        <v>0</v>
      </c>
      <c r="AP26" s="54">
        <f>SUMIFS(statement!$I:$I,statement!$K:$K,ANALISA!$AA26, statement!$B:$B,ANALISA!AP$4)</f>
        <v>0</v>
      </c>
      <c r="AQ26" s="54">
        <f>SUMIFS(statement!$I:$I,statement!$K:$K,ANALISA!$AA26, statement!$B:$B,ANALISA!AQ$4)</f>
        <v>0</v>
      </c>
      <c r="AR26" s="54">
        <f>SUMIFS(statement!$I:$I,statement!$K:$K,ANALISA!$AA26, statement!$B:$B,ANALISA!AR$4)</f>
        <v>0</v>
      </c>
      <c r="AS26" s="54">
        <f>SUMIFS(statement!$I:$I,statement!$K:$K,ANALISA!$AA26, statement!$B:$B,ANALISA!AS$4)</f>
        <v>0</v>
      </c>
      <c r="AT26" s="54">
        <f>SUMIFS(statement!$I:$I,statement!$K:$K,ANALISA!$AA26, statement!$B:$B,ANALISA!AT$4)</f>
        <v>0</v>
      </c>
      <c r="AU26" s="54">
        <f>SUMIFS(statement!$I:$I,statement!$K:$K,ANALISA!$AA26, statement!$B:$B,ANALISA!AU$4)</f>
        <v>0</v>
      </c>
      <c r="AV26" s="54">
        <f>SUMIFS(statement!$I:$I,statement!$K:$K,ANALISA!$AA26, statement!$B:$B,ANALISA!AV$4)</f>
        <v>0</v>
      </c>
      <c r="AW26" s="54">
        <f>SUMIFS(statement!$I:$I,statement!$K:$K,ANALISA!$AA26, statement!$B:$B,ANALISA!AW$4)</f>
        <v>0</v>
      </c>
      <c r="AX26" s="54">
        <f>SUMIFS(statement!$I:$I,statement!$K:$K,ANALISA!$AA26, statement!$B:$B,ANALISA!AX$4)</f>
        <v>0</v>
      </c>
    </row>
    <row r="27" spans="1:50" ht="15.6" customHeight="1" x14ac:dyDescent="0.3">
      <c r="A27" s="52">
        <f t="shared" si="0"/>
        <v>46285</v>
      </c>
      <c r="B27" s="9" t="str">
        <f t="shared" si="1"/>
        <v>20-Sep-2026 Sunday</v>
      </c>
      <c r="C27" s="53">
        <v>46285</v>
      </c>
      <c r="D27" s="54">
        <f>SUMIF(statement!$K:$K,ANALISA!AA27,statement!$F:$F)</f>
        <v>0</v>
      </c>
      <c r="E27" s="54">
        <f>SUMIFS(statement!$I:$I,statement!$K:$K,ANALISA!$AA27, statement!$B:$B,ANALISA!E$4)</f>
        <v>0</v>
      </c>
      <c r="F27" s="54">
        <f>SUMIFS(statement!$H:$H,statement!$K:$K,ANALISA!$AA27, statement!$B:$B,ANALISA!F$4)</f>
        <v>0</v>
      </c>
      <c r="G27" s="54">
        <f>SUMIFS(statement!$I:$I,statement!$K:$K,ANALISA!$AA27, statement!$B:$B,ANALISA!G$4)</f>
        <v>0</v>
      </c>
      <c r="H27" s="54">
        <f>SUMIFS(statement!$I:$I,statement!$K:$K,ANALISA!$AA27, statement!$B:$B,ANALISA!H$4)</f>
        <v>0</v>
      </c>
      <c r="I27" s="54">
        <f>SUMIFS(statement!$I:$I,statement!$K:$K,ANALISA!$AA27, statement!$B:$B,ANALISA!I$4)</f>
        <v>0</v>
      </c>
      <c r="J27" s="54">
        <f>SUMIFS(statement!$I:$I,statement!$K:$K,ANALISA!$AA27, statement!$B:$B,ANALISA!J$4)</f>
        <v>0</v>
      </c>
      <c r="K27" s="54">
        <f>SUMIFS(statement!$I:$I,statement!$K:$K,ANALISA!$AA27, statement!$B:$B,ANALISA!K$4)</f>
        <v>0</v>
      </c>
      <c r="L27" s="54">
        <f t="shared" si="2"/>
        <v>0</v>
      </c>
      <c r="M27" s="54">
        <f>SUMIFS(statement!$I:$I,statement!$K:$K,ANALISA!$AA27, statement!$B:$B,ANALISA!M$4)</f>
        <v>0</v>
      </c>
      <c r="N27" s="54">
        <f>SUMIFS(statement!$I:$I,statement!$K:$K,ANALISA!$AA27, statement!$B:$B,ANALISA!N$4)</f>
        <v>0</v>
      </c>
      <c r="O27" s="54">
        <f>SUMIFS(statement!$I:$I,statement!$K:$K,ANALISA!$AA27, statement!$B:$B,ANALISA!O$4)</f>
        <v>0</v>
      </c>
      <c r="P27" s="54">
        <f>SUMIFS(statement!$I:$I,statement!$K:$K,ANALISA!$AA27, statement!$B:$B,ANALISA!P$4)</f>
        <v>0</v>
      </c>
      <c r="Q27" s="54">
        <f>SUMIFS(statement!$I:$I,statement!$K:$K,ANALISA!$AA27, statement!$B:$B,ANALISA!Q$4)</f>
        <v>0</v>
      </c>
      <c r="R27" s="54">
        <f>SUMIF(statement!$K:$K,ANALISA!AA27,statement!$J:$J)</f>
        <v>0</v>
      </c>
      <c r="S27" s="55">
        <f t="shared" si="3"/>
        <v>0</v>
      </c>
      <c r="T27" s="56">
        <f>IFERROR(VLOOKUP(S27,RK!$D$1:$E$65536,1,FALSE),0)</f>
        <v>0</v>
      </c>
      <c r="U27" s="57" t="e">
        <f>VLOOKUP(T27,RK!$D$1:$E$65536,2,FALSE)</f>
        <v>#N/A</v>
      </c>
      <c r="V27" s="58"/>
      <c r="W27" s="59" t="e">
        <f>VLOOKUP(V27,RK!$D$1:$E$65536,2,FALSE)</f>
        <v>#N/A</v>
      </c>
      <c r="X27" s="60">
        <f t="shared" si="6"/>
        <v>0</v>
      </c>
      <c r="Y27" s="55">
        <v>0</v>
      </c>
      <c r="Z27" s="55">
        <f t="shared" si="7"/>
        <v>0</v>
      </c>
      <c r="AA27" s="61">
        <v>20</v>
      </c>
      <c r="AC27" s="40">
        <f t="shared" si="4"/>
        <v>0</v>
      </c>
      <c r="AD27" s="63" t="str">
        <f>IFERROR(VLOOKUP(AB27,BDEPO!$A:$K,11,FALSE),"-")</f>
        <v>-</v>
      </c>
      <c r="AE27" s="6" t="str">
        <f t="shared" si="5"/>
        <v>DEPOSITED</v>
      </c>
      <c r="AF27" s="54">
        <f>SUMIFS(statement!$I:$I,statement!$K:$K,ANALISA!$AA27, statement!$B:$B,ANALISA!AF$4)</f>
        <v>0</v>
      </c>
      <c r="AG27" s="54">
        <f>SUMIFS(statement!$I:$I,statement!$K:$K,ANALISA!$AA27, statement!$B:$B,ANALISA!AG$4)</f>
        <v>0</v>
      </c>
      <c r="AH27" s="54">
        <f>SUMIFS(statement!$I:$I,statement!$K:$K,ANALISA!$AA27, statement!$B:$B,ANALISA!AH$4)</f>
        <v>0</v>
      </c>
      <c r="AI27" s="54">
        <f>SUMIFS(statement!$I:$I,statement!$K:$K,ANALISA!$AA27, statement!$B:$B,ANALISA!AI$4)</f>
        <v>0</v>
      </c>
      <c r="AJ27" s="54">
        <f>SUMIFS(statement!$I:$I,statement!$K:$K,ANALISA!$AA27, statement!$B:$B,ANALISA!AJ$4)</f>
        <v>0</v>
      </c>
      <c r="AK27" s="54">
        <f>SUMIFS(statement!$I:$I,statement!$K:$K,ANALISA!$AA27, statement!$B:$B,ANALISA!AK$4)</f>
        <v>0</v>
      </c>
      <c r="AL27" s="54">
        <f>SUMIFS(statement!$I:$I,statement!$K:$K,ANALISA!$AA27, statement!$B:$B,ANALISA!AL$4)</f>
        <v>0</v>
      </c>
      <c r="AM27" s="54">
        <f>SUMIFS(statement!$I:$I,statement!$K:$K,ANALISA!$AA27, statement!$B:$B,ANALISA!AM$4)</f>
        <v>0</v>
      </c>
      <c r="AN27" s="54">
        <f>SUMIFS(statement!$I:$I,statement!$K:$K,ANALISA!$AA27, statement!$B:$B,ANALISA!AN$4)</f>
        <v>0</v>
      </c>
      <c r="AO27" s="54">
        <f>SUMIFS(statement!$I:$I,statement!$K:$K,ANALISA!$AA27, statement!$B:$B,ANALISA!AO$4)</f>
        <v>0</v>
      </c>
      <c r="AP27" s="54">
        <f>SUMIFS(statement!$I:$I,statement!$K:$K,ANALISA!$AA27, statement!$B:$B,ANALISA!AP$4)</f>
        <v>0</v>
      </c>
      <c r="AQ27" s="54">
        <f>SUMIFS(statement!$I:$I,statement!$K:$K,ANALISA!$AA27, statement!$B:$B,ANALISA!AQ$4)</f>
        <v>0</v>
      </c>
      <c r="AR27" s="54">
        <f>SUMIFS(statement!$I:$I,statement!$K:$K,ANALISA!$AA27, statement!$B:$B,ANALISA!AR$4)</f>
        <v>0</v>
      </c>
      <c r="AS27" s="54">
        <f>SUMIFS(statement!$I:$I,statement!$K:$K,ANALISA!$AA27, statement!$B:$B,ANALISA!AS$4)</f>
        <v>0</v>
      </c>
      <c r="AT27" s="54">
        <f>SUMIFS(statement!$I:$I,statement!$K:$K,ANALISA!$AA27, statement!$B:$B,ANALISA!AT$4)</f>
        <v>0</v>
      </c>
      <c r="AU27" s="54">
        <f>SUMIFS(statement!$I:$I,statement!$K:$K,ANALISA!$AA27, statement!$B:$B,ANALISA!AU$4)</f>
        <v>0</v>
      </c>
      <c r="AV27" s="54">
        <f>SUMIFS(statement!$I:$I,statement!$K:$K,ANALISA!$AA27, statement!$B:$B,ANALISA!AV$4)</f>
        <v>0</v>
      </c>
      <c r="AW27" s="54">
        <f>SUMIFS(statement!$I:$I,statement!$K:$K,ANALISA!$AA27, statement!$B:$B,ANALISA!AW$4)</f>
        <v>0</v>
      </c>
      <c r="AX27" s="54">
        <f>SUMIFS(statement!$I:$I,statement!$K:$K,ANALISA!$AA27, statement!$B:$B,ANALISA!AX$4)</f>
        <v>0</v>
      </c>
    </row>
    <row r="28" spans="1:50" s="5" customFormat="1" ht="15.6" customHeight="1" x14ac:dyDescent="0.3">
      <c r="A28" s="52">
        <f t="shared" si="0"/>
        <v>46286</v>
      </c>
      <c r="B28" s="9" t="str">
        <f t="shared" si="1"/>
        <v>21-Sep-2026 Monday</v>
      </c>
      <c r="C28" s="53">
        <v>46286</v>
      </c>
      <c r="D28" s="54">
        <f>SUMIF(statement!$K:$K,ANALISA!AA28,statement!$F:$F)</f>
        <v>0</v>
      </c>
      <c r="E28" s="54">
        <f>SUMIFS(statement!$I:$I,statement!$K:$K,ANALISA!$AA28, statement!$B:$B,ANALISA!E$4)</f>
        <v>0</v>
      </c>
      <c r="F28" s="54">
        <f>SUMIFS(statement!$H:$H,statement!$K:$K,ANALISA!$AA28, statement!$B:$B,ANALISA!F$4)</f>
        <v>0</v>
      </c>
      <c r="G28" s="54">
        <f>SUMIFS(statement!$I:$I,statement!$K:$K,ANALISA!$AA28, statement!$B:$B,ANALISA!G$4)</f>
        <v>0</v>
      </c>
      <c r="H28" s="54">
        <f>SUMIFS(statement!$I:$I,statement!$K:$K,ANALISA!$AA28, statement!$B:$B,ANALISA!H$4)</f>
        <v>0</v>
      </c>
      <c r="I28" s="54">
        <f>SUMIFS(statement!$I:$I,statement!$K:$K,ANALISA!$AA28, statement!$B:$B,ANALISA!I$4)</f>
        <v>0</v>
      </c>
      <c r="J28" s="54">
        <f>SUMIFS(statement!$I:$I,statement!$K:$K,ANALISA!$AA28, statement!$B:$B,ANALISA!J$4)</f>
        <v>0</v>
      </c>
      <c r="K28" s="54">
        <f>SUMIFS(statement!$I:$I,statement!$K:$K,ANALISA!$AA28, statement!$B:$B,ANALISA!K$4)</f>
        <v>0</v>
      </c>
      <c r="L28" s="54">
        <f t="shared" si="2"/>
        <v>0</v>
      </c>
      <c r="M28" s="54">
        <f>SUMIFS(statement!$I:$I,statement!$K:$K,ANALISA!$AA28, statement!$B:$B,ANALISA!M$4)</f>
        <v>0</v>
      </c>
      <c r="N28" s="54">
        <f>SUMIFS(statement!$I:$I,statement!$K:$K,ANALISA!$AA28, statement!$B:$B,ANALISA!N$4)</f>
        <v>0</v>
      </c>
      <c r="O28" s="54">
        <f>SUMIFS(statement!$I:$I,statement!$K:$K,ANALISA!$AA28, statement!$B:$B,ANALISA!O$4)</f>
        <v>0</v>
      </c>
      <c r="P28" s="54">
        <f>SUMIFS(statement!$I:$I,statement!$K:$K,ANALISA!$AA28, statement!$B:$B,ANALISA!P$4)</f>
        <v>0</v>
      </c>
      <c r="Q28" s="54">
        <f>SUMIFS(statement!$I:$I,statement!$K:$K,ANALISA!$AA28, statement!$B:$B,ANALISA!Q$4)</f>
        <v>0</v>
      </c>
      <c r="R28" s="54">
        <f>SUMIF(statement!$K:$K,ANALISA!AA28,statement!$J:$J)</f>
        <v>0</v>
      </c>
      <c r="S28" s="55">
        <f t="shared" si="3"/>
        <v>0</v>
      </c>
      <c r="T28" s="56">
        <f>IFERROR(VLOOKUP(S28,RK!$D$1:$E$65536,1,FALSE),0)</f>
        <v>0</v>
      </c>
      <c r="U28" s="57" t="e">
        <f>VLOOKUP(T28,RK!$D$1:$E$65536,2,FALSE)</f>
        <v>#N/A</v>
      </c>
      <c r="V28" s="58"/>
      <c r="W28" s="59" t="e">
        <f>VLOOKUP(V28,RK!$D$1:$E$65536,2,FALSE)</f>
        <v>#N/A</v>
      </c>
      <c r="X28" s="60">
        <f t="shared" si="6"/>
        <v>0</v>
      </c>
      <c r="Y28" s="55">
        <v>0</v>
      </c>
      <c r="Z28" s="55">
        <f t="shared" si="7"/>
        <v>0</v>
      </c>
      <c r="AA28" s="61">
        <v>21</v>
      </c>
      <c r="AB28" s="62"/>
      <c r="AC28" s="40">
        <f t="shared" si="4"/>
        <v>0</v>
      </c>
      <c r="AD28" s="63" t="str">
        <f>IFERROR(VLOOKUP(AB28,BDEPO!$A:$K,11,FALSE),"-")</f>
        <v>-</v>
      </c>
      <c r="AE28" s="6" t="str">
        <f t="shared" si="5"/>
        <v>DEPOSITED</v>
      </c>
      <c r="AF28" s="54">
        <f>SUMIFS(statement!$I:$I,statement!$K:$K,ANALISA!$AA28, statement!$B:$B,ANALISA!AF$4)</f>
        <v>0</v>
      </c>
      <c r="AG28" s="54">
        <f>SUMIFS(statement!$I:$I,statement!$K:$K,ANALISA!$AA28, statement!$B:$B,ANALISA!AG$4)</f>
        <v>0</v>
      </c>
      <c r="AH28" s="54">
        <f>SUMIFS(statement!$I:$I,statement!$K:$K,ANALISA!$AA28, statement!$B:$B,ANALISA!AH$4)</f>
        <v>0</v>
      </c>
      <c r="AI28" s="54">
        <f>SUMIFS(statement!$I:$I,statement!$K:$K,ANALISA!$AA28, statement!$B:$B,ANALISA!AI$4)</f>
        <v>0</v>
      </c>
      <c r="AJ28" s="54">
        <f>SUMIFS(statement!$I:$I,statement!$K:$K,ANALISA!$AA28, statement!$B:$B,ANALISA!AJ$4)</f>
        <v>0</v>
      </c>
      <c r="AK28" s="54">
        <f>SUMIFS(statement!$I:$I,statement!$K:$K,ANALISA!$AA28, statement!$B:$B,ANALISA!AK$4)</f>
        <v>0</v>
      </c>
      <c r="AL28" s="54">
        <f>SUMIFS(statement!$I:$I,statement!$K:$K,ANALISA!$AA28, statement!$B:$B,ANALISA!AL$4)</f>
        <v>0</v>
      </c>
      <c r="AM28" s="54">
        <f>SUMIFS(statement!$I:$I,statement!$K:$K,ANALISA!$AA28, statement!$B:$B,ANALISA!AM$4)</f>
        <v>0</v>
      </c>
      <c r="AN28" s="54">
        <f>SUMIFS(statement!$I:$I,statement!$K:$K,ANALISA!$AA28, statement!$B:$B,ANALISA!AN$4)</f>
        <v>0</v>
      </c>
      <c r="AO28" s="54">
        <f>SUMIFS(statement!$I:$I,statement!$K:$K,ANALISA!$AA28, statement!$B:$B,ANALISA!AO$4)</f>
        <v>0</v>
      </c>
      <c r="AP28" s="54">
        <f>SUMIFS(statement!$I:$I,statement!$K:$K,ANALISA!$AA28, statement!$B:$B,ANALISA!AP$4)</f>
        <v>0</v>
      </c>
      <c r="AQ28" s="54">
        <f>SUMIFS(statement!$I:$I,statement!$K:$K,ANALISA!$AA28, statement!$B:$B,ANALISA!AQ$4)</f>
        <v>0</v>
      </c>
      <c r="AR28" s="54">
        <f>SUMIFS(statement!$I:$I,statement!$K:$K,ANALISA!$AA28, statement!$B:$B,ANALISA!AR$4)</f>
        <v>0</v>
      </c>
      <c r="AS28" s="54">
        <f>SUMIFS(statement!$I:$I,statement!$K:$K,ANALISA!$AA28, statement!$B:$B,ANALISA!AS$4)</f>
        <v>0</v>
      </c>
      <c r="AT28" s="54">
        <f>SUMIFS(statement!$I:$I,statement!$K:$K,ANALISA!$AA28, statement!$B:$B,ANALISA!AT$4)</f>
        <v>0</v>
      </c>
      <c r="AU28" s="54">
        <f>SUMIFS(statement!$I:$I,statement!$K:$K,ANALISA!$AA28, statement!$B:$B,ANALISA!AU$4)</f>
        <v>0</v>
      </c>
      <c r="AV28" s="54">
        <f>SUMIFS(statement!$I:$I,statement!$K:$K,ANALISA!$AA28, statement!$B:$B,ANALISA!AV$4)</f>
        <v>0</v>
      </c>
      <c r="AW28" s="54">
        <f>SUMIFS(statement!$I:$I,statement!$K:$K,ANALISA!$AA28, statement!$B:$B,ANALISA!AW$4)</f>
        <v>0</v>
      </c>
      <c r="AX28" s="54">
        <f>SUMIFS(statement!$I:$I,statement!$K:$K,ANALISA!$AA28, statement!$B:$B,ANALISA!AX$4)</f>
        <v>0</v>
      </c>
    </row>
    <row r="29" spans="1:50" s="5" customFormat="1" ht="15.6" customHeight="1" x14ac:dyDescent="0.3">
      <c r="A29" s="52">
        <f t="shared" si="0"/>
        <v>46287</v>
      </c>
      <c r="B29" s="9" t="str">
        <f t="shared" si="1"/>
        <v>22-Sep-2026 Tuesday</v>
      </c>
      <c r="C29" s="53">
        <v>46287</v>
      </c>
      <c r="D29" s="54">
        <f>SUMIF(statement!$K:$K,ANALISA!AA29,statement!$F:$F)</f>
        <v>0</v>
      </c>
      <c r="E29" s="54">
        <f>SUMIFS(statement!$I:$I,statement!$K:$K,ANALISA!$AA29, statement!$B:$B,ANALISA!E$4)</f>
        <v>0</v>
      </c>
      <c r="F29" s="54">
        <f>SUMIFS(statement!$H:$H,statement!$K:$K,ANALISA!$AA29, statement!$B:$B,ANALISA!F$4)</f>
        <v>0</v>
      </c>
      <c r="G29" s="54">
        <f>SUMIFS(statement!$I:$I,statement!$K:$K,ANALISA!$AA29, statement!$B:$B,ANALISA!G$4)</f>
        <v>0</v>
      </c>
      <c r="H29" s="54">
        <f>SUMIFS(statement!$I:$I,statement!$K:$K,ANALISA!$AA29, statement!$B:$B,ANALISA!H$4)</f>
        <v>0</v>
      </c>
      <c r="I29" s="54">
        <f>SUMIFS(statement!$I:$I,statement!$K:$K,ANALISA!$AA29, statement!$B:$B,ANALISA!I$4)</f>
        <v>0</v>
      </c>
      <c r="J29" s="54">
        <f>SUMIFS(statement!$I:$I,statement!$K:$K,ANALISA!$AA29, statement!$B:$B,ANALISA!J$4)</f>
        <v>0</v>
      </c>
      <c r="K29" s="54">
        <f>SUMIFS(statement!$I:$I,statement!$K:$K,ANALISA!$AA29, statement!$B:$B,ANALISA!K$4)</f>
        <v>0</v>
      </c>
      <c r="L29" s="54">
        <f t="shared" si="2"/>
        <v>0</v>
      </c>
      <c r="M29" s="54">
        <f>SUMIFS(statement!$I:$I,statement!$K:$K,ANALISA!$AA29, statement!$B:$B,ANALISA!M$4)</f>
        <v>0</v>
      </c>
      <c r="N29" s="54">
        <f>SUMIFS(statement!$I:$I,statement!$K:$K,ANALISA!$AA29, statement!$B:$B,ANALISA!N$4)</f>
        <v>0</v>
      </c>
      <c r="O29" s="54">
        <f>SUMIFS(statement!$I:$I,statement!$K:$K,ANALISA!$AA29, statement!$B:$B,ANALISA!O$4)</f>
        <v>0</v>
      </c>
      <c r="P29" s="54">
        <f>SUMIFS(statement!$I:$I,statement!$K:$K,ANALISA!$AA29, statement!$B:$B,ANALISA!P$4)</f>
        <v>0</v>
      </c>
      <c r="Q29" s="54">
        <f>SUMIFS(statement!$I:$I,statement!$K:$K,ANALISA!$AA29, statement!$B:$B,ANALISA!Q$4)</f>
        <v>0</v>
      </c>
      <c r="R29" s="54">
        <f>SUMIF(statement!$K:$K,ANALISA!AA29,statement!$J:$J)</f>
        <v>0</v>
      </c>
      <c r="S29" s="55">
        <f t="shared" si="3"/>
        <v>0</v>
      </c>
      <c r="T29" s="56">
        <f>IFERROR(VLOOKUP(S29,RK!$D$1:$E$65536,1,FALSE),0)</f>
        <v>0</v>
      </c>
      <c r="U29" s="57" t="e">
        <f>VLOOKUP(T29,RK!$D$1:$E$65536,2,FALSE)</f>
        <v>#N/A</v>
      </c>
      <c r="V29" s="58"/>
      <c r="W29" s="59" t="e">
        <f>VLOOKUP(V29,RK!$D$1:$E$65536,2,FALSE)</f>
        <v>#N/A</v>
      </c>
      <c r="X29" s="60">
        <f t="shared" si="6"/>
        <v>0</v>
      </c>
      <c r="Y29" s="55">
        <v>0</v>
      </c>
      <c r="Z29" s="55">
        <f t="shared" si="7"/>
        <v>0</v>
      </c>
      <c r="AA29" s="61">
        <v>22</v>
      </c>
      <c r="AB29" s="62"/>
      <c r="AC29" s="40">
        <f t="shared" si="4"/>
        <v>0</v>
      </c>
      <c r="AD29" s="63" t="str">
        <f>IFERROR(VLOOKUP(AB29,BDEPO!$A:$K,11,FALSE),"-")</f>
        <v>-</v>
      </c>
      <c r="AE29" s="6" t="str">
        <f t="shared" si="5"/>
        <v>DEPOSITED</v>
      </c>
      <c r="AF29" s="54">
        <f>SUMIFS(statement!$I:$I,statement!$K:$K,ANALISA!$AA29, statement!$B:$B,ANALISA!AF$4)</f>
        <v>0</v>
      </c>
      <c r="AG29" s="54">
        <f>SUMIFS(statement!$I:$I,statement!$K:$K,ANALISA!$AA29, statement!$B:$B,ANALISA!AG$4)</f>
        <v>0</v>
      </c>
      <c r="AH29" s="54">
        <f>SUMIFS(statement!$I:$I,statement!$K:$K,ANALISA!$AA29, statement!$B:$B,ANALISA!AH$4)</f>
        <v>0</v>
      </c>
      <c r="AI29" s="54">
        <f>SUMIFS(statement!$I:$I,statement!$K:$K,ANALISA!$AA29, statement!$B:$B,ANALISA!AI$4)</f>
        <v>0</v>
      </c>
      <c r="AJ29" s="54">
        <f>SUMIFS(statement!$I:$I,statement!$K:$K,ANALISA!$AA29, statement!$B:$B,ANALISA!AJ$4)</f>
        <v>0</v>
      </c>
      <c r="AK29" s="54">
        <f>SUMIFS(statement!$I:$I,statement!$K:$K,ANALISA!$AA29, statement!$B:$B,ANALISA!AK$4)</f>
        <v>0</v>
      </c>
      <c r="AL29" s="54">
        <f>SUMIFS(statement!$I:$I,statement!$K:$K,ANALISA!$AA29, statement!$B:$B,ANALISA!AL$4)</f>
        <v>0</v>
      </c>
      <c r="AM29" s="54">
        <f>SUMIFS(statement!$I:$I,statement!$K:$K,ANALISA!$AA29, statement!$B:$B,ANALISA!AM$4)</f>
        <v>0</v>
      </c>
      <c r="AN29" s="54">
        <f>SUMIFS(statement!$I:$I,statement!$K:$K,ANALISA!$AA29, statement!$B:$B,ANALISA!AN$4)</f>
        <v>0</v>
      </c>
      <c r="AO29" s="54">
        <f>SUMIFS(statement!$I:$I,statement!$K:$K,ANALISA!$AA29, statement!$B:$B,ANALISA!AO$4)</f>
        <v>0</v>
      </c>
      <c r="AP29" s="54">
        <f>SUMIFS(statement!$I:$I,statement!$K:$K,ANALISA!$AA29, statement!$B:$B,ANALISA!AP$4)</f>
        <v>0</v>
      </c>
      <c r="AQ29" s="54">
        <f>SUMIFS(statement!$I:$I,statement!$K:$K,ANALISA!$AA29, statement!$B:$B,ANALISA!AQ$4)</f>
        <v>0</v>
      </c>
      <c r="AR29" s="54">
        <f>SUMIFS(statement!$I:$I,statement!$K:$K,ANALISA!$AA29, statement!$B:$B,ANALISA!AR$4)</f>
        <v>0</v>
      </c>
      <c r="AS29" s="54">
        <f>SUMIFS(statement!$I:$I,statement!$K:$K,ANALISA!$AA29, statement!$B:$B,ANALISA!AS$4)</f>
        <v>0</v>
      </c>
      <c r="AT29" s="54">
        <f>SUMIFS(statement!$I:$I,statement!$K:$K,ANALISA!$AA29, statement!$B:$B,ANALISA!AT$4)</f>
        <v>0</v>
      </c>
      <c r="AU29" s="54">
        <f>SUMIFS(statement!$I:$I,statement!$K:$K,ANALISA!$AA29, statement!$B:$B,ANALISA!AU$4)</f>
        <v>0</v>
      </c>
      <c r="AV29" s="54">
        <f>SUMIFS(statement!$I:$I,statement!$K:$K,ANALISA!$AA29, statement!$B:$B,ANALISA!AV$4)</f>
        <v>0</v>
      </c>
      <c r="AW29" s="54">
        <f>SUMIFS(statement!$I:$I,statement!$K:$K,ANALISA!$AA29, statement!$B:$B,ANALISA!AW$4)</f>
        <v>0</v>
      </c>
      <c r="AX29" s="54">
        <f>SUMIFS(statement!$I:$I,statement!$K:$K,ANALISA!$AA29, statement!$B:$B,ANALISA!AX$4)</f>
        <v>0</v>
      </c>
    </row>
    <row r="30" spans="1:50" s="5" customFormat="1" ht="15.6" customHeight="1" x14ac:dyDescent="0.3">
      <c r="A30" s="52">
        <f t="shared" si="0"/>
        <v>46288</v>
      </c>
      <c r="B30" s="9" t="str">
        <f t="shared" si="1"/>
        <v>23-Sep-2026 Wednesday</v>
      </c>
      <c r="C30" s="53">
        <v>46288</v>
      </c>
      <c r="D30" s="54">
        <f>SUMIF(statement!$K:$K,ANALISA!AA30,statement!$F:$F)</f>
        <v>0</v>
      </c>
      <c r="E30" s="54">
        <f>SUMIFS(statement!$I:$I,statement!$K:$K,ANALISA!$AA30, statement!$B:$B,ANALISA!E$4)</f>
        <v>0</v>
      </c>
      <c r="F30" s="54">
        <f>SUMIFS(statement!$H:$H,statement!$K:$K,ANALISA!$AA30, statement!$B:$B,ANALISA!F$4)</f>
        <v>0</v>
      </c>
      <c r="G30" s="54">
        <f>SUMIFS(statement!$I:$I,statement!$K:$K,ANALISA!$AA30, statement!$B:$B,ANALISA!G$4)</f>
        <v>0</v>
      </c>
      <c r="H30" s="54">
        <f>SUMIFS(statement!$I:$I,statement!$K:$K,ANALISA!$AA30, statement!$B:$B,ANALISA!H$4)</f>
        <v>0</v>
      </c>
      <c r="I30" s="54">
        <f>SUMIFS(statement!$I:$I,statement!$K:$K,ANALISA!$AA30, statement!$B:$B,ANALISA!I$4)</f>
        <v>0</v>
      </c>
      <c r="J30" s="54">
        <f>SUMIFS(statement!$I:$I,statement!$K:$K,ANALISA!$AA30, statement!$B:$B,ANALISA!J$4)</f>
        <v>0</v>
      </c>
      <c r="K30" s="54">
        <f>SUMIFS(statement!$I:$I,statement!$K:$K,ANALISA!$AA30, statement!$B:$B,ANALISA!K$4)</f>
        <v>0</v>
      </c>
      <c r="L30" s="54">
        <f t="shared" si="2"/>
        <v>0</v>
      </c>
      <c r="M30" s="54">
        <f>SUMIFS(statement!$I:$I,statement!$K:$K,ANALISA!$AA30, statement!$B:$B,ANALISA!M$4)</f>
        <v>0</v>
      </c>
      <c r="N30" s="54">
        <f>SUMIFS(statement!$I:$I,statement!$K:$K,ANALISA!$AA30, statement!$B:$B,ANALISA!N$4)</f>
        <v>0</v>
      </c>
      <c r="O30" s="54">
        <f>SUMIFS(statement!$I:$I,statement!$K:$K,ANALISA!$AA30, statement!$B:$B,ANALISA!O$4)</f>
        <v>0</v>
      </c>
      <c r="P30" s="54">
        <f>SUMIFS(statement!$I:$I,statement!$K:$K,ANALISA!$AA30, statement!$B:$B,ANALISA!P$4)</f>
        <v>0</v>
      </c>
      <c r="Q30" s="54">
        <f>SUMIFS(statement!$I:$I,statement!$K:$K,ANALISA!$AA30, statement!$B:$B,ANALISA!Q$4)</f>
        <v>0</v>
      </c>
      <c r="R30" s="54">
        <f>SUMIF(statement!$K:$K,ANALISA!AA30,statement!$J:$J)</f>
        <v>0</v>
      </c>
      <c r="S30" s="55">
        <f t="shared" si="3"/>
        <v>0</v>
      </c>
      <c r="T30" s="56">
        <f>IFERROR(VLOOKUP(S30,RK!$D$1:$E$65536,1,FALSE),0)</f>
        <v>0</v>
      </c>
      <c r="U30" s="57" t="e">
        <f>VLOOKUP(T30,RK!$D$1:$E$65536,2,FALSE)</f>
        <v>#N/A</v>
      </c>
      <c r="V30" s="58"/>
      <c r="W30" s="59" t="e">
        <f>VLOOKUP(V30,RK!$D$1:$E$65536,2,FALSE)</f>
        <v>#N/A</v>
      </c>
      <c r="X30" s="60">
        <f t="shared" si="6"/>
        <v>0</v>
      </c>
      <c r="Y30" s="55">
        <v>0</v>
      </c>
      <c r="Z30" s="55">
        <f t="shared" si="7"/>
        <v>0</v>
      </c>
      <c r="AA30" s="61">
        <v>23</v>
      </c>
      <c r="AB30" s="62"/>
      <c r="AC30" s="40">
        <f t="shared" si="4"/>
        <v>0</v>
      </c>
      <c r="AD30" s="63" t="str">
        <f>IFERROR(VLOOKUP(AB30,BDEPO!$A:$K,11,FALSE),"-")</f>
        <v>-</v>
      </c>
      <c r="AE30" s="6" t="str">
        <f t="shared" si="5"/>
        <v>DEPOSITED</v>
      </c>
      <c r="AF30" s="54">
        <f>SUMIFS(statement!$I:$I,statement!$K:$K,ANALISA!$AA30, statement!$B:$B,ANALISA!AF$4)</f>
        <v>0</v>
      </c>
      <c r="AG30" s="54">
        <f>SUMIFS(statement!$I:$I,statement!$K:$K,ANALISA!$AA30, statement!$B:$B,ANALISA!AG$4)</f>
        <v>0</v>
      </c>
      <c r="AH30" s="54">
        <f>SUMIFS(statement!$I:$I,statement!$K:$K,ANALISA!$AA30, statement!$B:$B,ANALISA!AH$4)</f>
        <v>0</v>
      </c>
      <c r="AI30" s="54">
        <f>SUMIFS(statement!$I:$I,statement!$K:$K,ANALISA!$AA30, statement!$B:$B,ANALISA!AI$4)</f>
        <v>0</v>
      </c>
      <c r="AJ30" s="54">
        <f>SUMIFS(statement!$I:$I,statement!$K:$K,ANALISA!$AA30, statement!$B:$B,ANALISA!AJ$4)</f>
        <v>0</v>
      </c>
      <c r="AK30" s="54">
        <f>SUMIFS(statement!$I:$I,statement!$K:$K,ANALISA!$AA30, statement!$B:$B,ANALISA!AK$4)</f>
        <v>0</v>
      </c>
      <c r="AL30" s="54">
        <f>SUMIFS(statement!$I:$I,statement!$K:$K,ANALISA!$AA30, statement!$B:$B,ANALISA!AL$4)</f>
        <v>0</v>
      </c>
      <c r="AM30" s="54">
        <f>SUMIFS(statement!$I:$I,statement!$K:$K,ANALISA!$AA30, statement!$B:$B,ANALISA!AM$4)</f>
        <v>0</v>
      </c>
      <c r="AN30" s="54">
        <f>SUMIFS(statement!$I:$I,statement!$K:$K,ANALISA!$AA30, statement!$B:$B,ANALISA!AN$4)</f>
        <v>0</v>
      </c>
      <c r="AO30" s="54">
        <f>SUMIFS(statement!$I:$I,statement!$K:$K,ANALISA!$AA30, statement!$B:$B,ANALISA!AO$4)</f>
        <v>0</v>
      </c>
      <c r="AP30" s="54">
        <f>SUMIFS(statement!$I:$I,statement!$K:$K,ANALISA!$AA30, statement!$B:$B,ANALISA!AP$4)</f>
        <v>0</v>
      </c>
      <c r="AQ30" s="54">
        <f>SUMIFS(statement!$I:$I,statement!$K:$K,ANALISA!$AA30, statement!$B:$B,ANALISA!AQ$4)</f>
        <v>0</v>
      </c>
      <c r="AR30" s="54">
        <f>SUMIFS(statement!$I:$I,statement!$K:$K,ANALISA!$AA30, statement!$B:$B,ANALISA!AR$4)</f>
        <v>0</v>
      </c>
      <c r="AS30" s="54">
        <f>SUMIFS(statement!$I:$I,statement!$K:$K,ANALISA!$AA30, statement!$B:$B,ANALISA!AS$4)</f>
        <v>0</v>
      </c>
      <c r="AT30" s="54">
        <f>SUMIFS(statement!$I:$I,statement!$K:$K,ANALISA!$AA30, statement!$B:$B,ANALISA!AT$4)</f>
        <v>0</v>
      </c>
      <c r="AU30" s="54">
        <f>SUMIFS(statement!$I:$I,statement!$K:$K,ANALISA!$AA30, statement!$B:$B,ANALISA!AU$4)</f>
        <v>0</v>
      </c>
      <c r="AV30" s="54">
        <f>SUMIFS(statement!$I:$I,statement!$K:$K,ANALISA!$AA30, statement!$B:$B,ANALISA!AV$4)</f>
        <v>0</v>
      </c>
      <c r="AW30" s="54">
        <f>SUMIFS(statement!$I:$I,statement!$K:$K,ANALISA!$AA30, statement!$B:$B,ANALISA!AW$4)</f>
        <v>0</v>
      </c>
      <c r="AX30" s="54">
        <f>SUMIFS(statement!$I:$I,statement!$K:$K,ANALISA!$AA30, statement!$B:$B,ANALISA!AX$4)</f>
        <v>0</v>
      </c>
    </row>
    <row r="31" spans="1:50" ht="15.6" customHeight="1" x14ac:dyDescent="0.3">
      <c r="A31" s="52">
        <f t="shared" si="0"/>
        <v>46289</v>
      </c>
      <c r="B31" s="9" t="str">
        <f t="shared" si="1"/>
        <v>24-Sep-2026 Thursday</v>
      </c>
      <c r="C31" s="53">
        <v>46289</v>
      </c>
      <c r="D31" s="54">
        <f>SUMIF(statement!$K:$K,ANALISA!AA31,statement!$F:$F)</f>
        <v>0</v>
      </c>
      <c r="E31" s="54">
        <f>SUMIFS(statement!$I:$I,statement!$K:$K,ANALISA!$AA31, statement!$B:$B,ANALISA!E$4)</f>
        <v>0</v>
      </c>
      <c r="F31" s="54">
        <f>SUMIFS(statement!$H:$H,statement!$K:$K,ANALISA!$AA31, statement!$B:$B,ANALISA!F$4)</f>
        <v>0</v>
      </c>
      <c r="G31" s="54">
        <f>SUMIFS(statement!$I:$I,statement!$K:$K,ANALISA!$AA31, statement!$B:$B,ANALISA!G$4)</f>
        <v>0</v>
      </c>
      <c r="H31" s="54">
        <f>SUMIFS(statement!$I:$I,statement!$K:$K,ANALISA!$AA31, statement!$B:$B,ANALISA!H$4)</f>
        <v>0</v>
      </c>
      <c r="I31" s="54">
        <f>SUMIFS(statement!$I:$I,statement!$K:$K,ANALISA!$AA31, statement!$B:$B,ANALISA!I$4)</f>
        <v>0</v>
      </c>
      <c r="J31" s="54">
        <f>SUMIFS(statement!$I:$I,statement!$K:$K,ANALISA!$AA31, statement!$B:$B,ANALISA!J$4)</f>
        <v>0</v>
      </c>
      <c r="K31" s="54">
        <f>SUMIFS(statement!$I:$I,statement!$K:$K,ANALISA!$AA31, statement!$B:$B,ANALISA!K$4)</f>
        <v>0</v>
      </c>
      <c r="L31" s="54">
        <f t="shared" si="2"/>
        <v>0</v>
      </c>
      <c r="M31" s="54">
        <f>SUMIFS(statement!$I:$I,statement!$K:$K,ANALISA!$AA31, statement!$B:$B,ANALISA!M$4)</f>
        <v>0</v>
      </c>
      <c r="N31" s="54">
        <f>SUMIFS(statement!$I:$I,statement!$K:$K,ANALISA!$AA31, statement!$B:$B,ANALISA!N$4)</f>
        <v>0</v>
      </c>
      <c r="O31" s="54">
        <f>SUMIFS(statement!$I:$I,statement!$K:$K,ANALISA!$AA31, statement!$B:$B,ANALISA!O$4)</f>
        <v>0</v>
      </c>
      <c r="P31" s="54">
        <f>SUMIFS(statement!$I:$I,statement!$K:$K,ANALISA!$AA31, statement!$B:$B,ANALISA!P$4)</f>
        <v>0</v>
      </c>
      <c r="Q31" s="54">
        <f>SUMIFS(statement!$I:$I,statement!$K:$K,ANALISA!$AA31, statement!$B:$B,ANALISA!Q$4)</f>
        <v>0</v>
      </c>
      <c r="R31" s="54">
        <f>SUMIF(statement!$K:$K,ANALISA!AA31,statement!$J:$J)</f>
        <v>0</v>
      </c>
      <c r="S31" s="55">
        <f t="shared" si="3"/>
        <v>0</v>
      </c>
      <c r="T31" s="56">
        <f>IFERROR(VLOOKUP(S31,RK!$D$1:$E$65536,1,FALSE),0)</f>
        <v>0</v>
      </c>
      <c r="U31" s="57" t="e">
        <f>VLOOKUP(T31,RK!$D$1:$E$65536,2,FALSE)</f>
        <v>#N/A</v>
      </c>
      <c r="V31" s="58"/>
      <c r="W31" s="59" t="e">
        <f>VLOOKUP(V31,RK!$D$1:$E$65536,2,FALSE)</f>
        <v>#N/A</v>
      </c>
      <c r="X31" s="60">
        <f t="shared" si="6"/>
        <v>0</v>
      </c>
      <c r="Y31" s="55">
        <v>0</v>
      </c>
      <c r="Z31" s="55">
        <f t="shared" si="7"/>
        <v>0</v>
      </c>
      <c r="AA31" s="61">
        <v>24</v>
      </c>
      <c r="AC31" s="40">
        <f t="shared" si="4"/>
        <v>0</v>
      </c>
      <c r="AD31" s="63" t="str">
        <f>IFERROR(VLOOKUP(AB31,BDEPO!$A:$K,11,FALSE),"-")</f>
        <v>-</v>
      </c>
      <c r="AE31" s="6" t="str">
        <f t="shared" si="5"/>
        <v>DEPOSITED</v>
      </c>
      <c r="AF31" s="54">
        <f>SUMIFS(statement!$I:$I,statement!$K:$K,ANALISA!$AA31, statement!$B:$B,ANALISA!AF$4)</f>
        <v>0</v>
      </c>
      <c r="AG31" s="54">
        <f>SUMIFS(statement!$I:$I,statement!$K:$K,ANALISA!$AA31, statement!$B:$B,ANALISA!AG$4)</f>
        <v>0</v>
      </c>
      <c r="AH31" s="54">
        <f>SUMIFS(statement!$I:$I,statement!$K:$K,ANALISA!$AA31, statement!$B:$B,ANALISA!AH$4)</f>
        <v>0</v>
      </c>
      <c r="AI31" s="54">
        <f>SUMIFS(statement!$I:$I,statement!$K:$K,ANALISA!$AA31, statement!$B:$B,ANALISA!AI$4)</f>
        <v>0</v>
      </c>
      <c r="AJ31" s="54">
        <f>SUMIFS(statement!$I:$I,statement!$K:$K,ANALISA!$AA31, statement!$B:$B,ANALISA!AJ$4)</f>
        <v>0</v>
      </c>
      <c r="AK31" s="54">
        <f>SUMIFS(statement!$I:$I,statement!$K:$K,ANALISA!$AA31, statement!$B:$B,ANALISA!AK$4)</f>
        <v>0</v>
      </c>
      <c r="AL31" s="54">
        <f>SUMIFS(statement!$I:$I,statement!$K:$K,ANALISA!$AA31, statement!$B:$B,ANALISA!AL$4)</f>
        <v>0</v>
      </c>
      <c r="AM31" s="54">
        <f>SUMIFS(statement!$I:$I,statement!$K:$K,ANALISA!$AA31, statement!$B:$B,ANALISA!AM$4)</f>
        <v>0</v>
      </c>
      <c r="AN31" s="54">
        <f>SUMIFS(statement!$I:$I,statement!$K:$K,ANALISA!$AA31, statement!$B:$B,ANALISA!AN$4)</f>
        <v>0</v>
      </c>
      <c r="AO31" s="54">
        <f>SUMIFS(statement!$I:$I,statement!$K:$K,ANALISA!$AA31, statement!$B:$B,ANALISA!AO$4)</f>
        <v>0</v>
      </c>
      <c r="AP31" s="54">
        <f>SUMIFS(statement!$I:$I,statement!$K:$K,ANALISA!$AA31, statement!$B:$B,ANALISA!AP$4)</f>
        <v>0</v>
      </c>
      <c r="AQ31" s="54">
        <f>SUMIFS(statement!$I:$I,statement!$K:$K,ANALISA!$AA31, statement!$B:$B,ANALISA!AQ$4)</f>
        <v>0</v>
      </c>
      <c r="AR31" s="54">
        <f>SUMIFS(statement!$I:$I,statement!$K:$K,ANALISA!$AA31, statement!$B:$B,ANALISA!AR$4)</f>
        <v>0</v>
      </c>
      <c r="AS31" s="54">
        <f>SUMIFS(statement!$I:$I,statement!$K:$K,ANALISA!$AA31, statement!$B:$B,ANALISA!AS$4)</f>
        <v>0</v>
      </c>
      <c r="AT31" s="54">
        <f>SUMIFS(statement!$I:$I,statement!$K:$K,ANALISA!$AA31, statement!$B:$B,ANALISA!AT$4)</f>
        <v>0</v>
      </c>
      <c r="AU31" s="54">
        <f>SUMIFS(statement!$I:$I,statement!$K:$K,ANALISA!$AA31, statement!$B:$B,ANALISA!AU$4)</f>
        <v>0</v>
      </c>
      <c r="AV31" s="54">
        <f>SUMIFS(statement!$I:$I,statement!$K:$K,ANALISA!$AA31, statement!$B:$B,ANALISA!AV$4)</f>
        <v>0</v>
      </c>
      <c r="AW31" s="54">
        <f>SUMIFS(statement!$I:$I,statement!$K:$K,ANALISA!$AA31, statement!$B:$B,ANALISA!AW$4)</f>
        <v>0</v>
      </c>
      <c r="AX31" s="54">
        <f>SUMIFS(statement!$I:$I,statement!$K:$K,ANALISA!$AA31, statement!$B:$B,ANALISA!AX$4)</f>
        <v>0</v>
      </c>
    </row>
    <row r="32" spans="1:50" ht="15.6" customHeight="1" x14ac:dyDescent="0.3">
      <c r="A32" s="52">
        <f t="shared" si="0"/>
        <v>46290</v>
      </c>
      <c r="B32" s="9" t="str">
        <f t="shared" si="1"/>
        <v>25-Sep-2026 Friday</v>
      </c>
      <c r="C32" s="53">
        <v>46290</v>
      </c>
      <c r="D32" s="54">
        <f>SUMIF(statement!$K:$K,ANALISA!AA32,statement!$F:$F)</f>
        <v>0</v>
      </c>
      <c r="E32" s="54">
        <f>SUMIFS(statement!$I:$I,statement!$K:$K,ANALISA!$AA32, statement!$B:$B,ANALISA!E$4)</f>
        <v>0</v>
      </c>
      <c r="F32" s="54">
        <f>SUMIFS(statement!$H:$H,statement!$K:$K,ANALISA!$AA32, statement!$B:$B,ANALISA!F$4)</f>
        <v>0</v>
      </c>
      <c r="G32" s="54">
        <f>SUMIFS(statement!$I:$I,statement!$K:$K,ANALISA!$AA32, statement!$B:$B,ANALISA!G$4)</f>
        <v>0</v>
      </c>
      <c r="H32" s="54">
        <f>SUMIFS(statement!$I:$I,statement!$K:$K,ANALISA!$AA32, statement!$B:$B,ANALISA!H$4)</f>
        <v>0</v>
      </c>
      <c r="I32" s="54">
        <f>SUMIFS(statement!$I:$I,statement!$K:$K,ANALISA!$AA32, statement!$B:$B,ANALISA!I$4)</f>
        <v>0</v>
      </c>
      <c r="J32" s="54">
        <f>SUMIFS(statement!$I:$I,statement!$K:$K,ANALISA!$AA32, statement!$B:$B,ANALISA!J$4)</f>
        <v>0</v>
      </c>
      <c r="K32" s="54">
        <f>SUMIFS(statement!$I:$I,statement!$K:$K,ANALISA!$AA32, statement!$B:$B,ANALISA!K$4)</f>
        <v>0</v>
      </c>
      <c r="L32" s="54">
        <f t="shared" si="2"/>
        <v>0</v>
      </c>
      <c r="M32" s="54">
        <f>SUMIFS(statement!$I:$I,statement!$K:$K,ANALISA!$AA32, statement!$B:$B,ANALISA!M$4)</f>
        <v>0</v>
      </c>
      <c r="N32" s="54">
        <f>SUMIFS(statement!$I:$I,statement!$K:$K,ANALISA!$AA32, statement!$B:$B,ANALISA!N$4)</f>
        <v>0</v>
      </c>
      <c r="O32" s="54">
        <f>SUMIFS(statement!$I:$I,statement!$K:$K,ANALISA!$AA32, statement!$B:$B,ANALISA!O$4)</f>
        <v>0</v>
      </c>
      <c r="P32" s="54">
        <f>SUMIFS(statement!$I:$I,statement!$K:$K,ANALISA!$AA32, statement!$B:$B,ANALISA!P$4)</f>
        <v>0</v>
      </c>
      <c r="Q32" s="54">
        <f>SUMIFS(statement!$I:$I,statement!$K:$K,ANALISA!$AA32, statement!$B:$B,ANALISA!Q$4)</f>
        <v>0</v>
      </c>
      <c r="R32" s="54">
        <f>SUMIF(statement!$K:$K,ANALISA!AA32,statement!$J:$J)</f>
        <v>0</v>
      </c>
      <c r="S32" s="55">
        <f t="shared" si="3"/>
        <v>0</v>
      </c>
      <c r="T32" s="56">
        <f>IFERROR(VLOOKUP(S32,RK!$D$1:$E$65536,1,FALSE),0)</f>
        <v>0</v>
      </c>
      <c r="U32" s="57" t="e">
        <f>VLOOKUP(T32,RK!$D$1:$E$65536,2,FALSE)</f>
        <v>#N/A</v>
      </c>
      <c r="V32" s="58"/>
      <c r="W32" s="59" t="e">
        <f>VLOOKUP(V32,RK!$D$1:$E$65536,2,FALSE)</f>
        <v>#N/A</v>
      </c>
      <c r="X32" s="60">
        <f t="shared" si="6"/>
        <v>0</v>
      </c>
      <c r="Y32" s="55">
        <v>0</v>
      </c>
      <c r="Z32" s="55">
        <f t="shared" si="7"/>
        <v>0</v>
      </c>
      <c r="AA32" s="61">
        <v>25</v>
      </c>
      <c r="AC32" s="40">
        <f t="shared" si="4"/>
        <v>0</v>
      </c>
      <c r="AD32" s="63" t="str">
        <f>IFERROR(VLOOKUP(AB32,BDEPO!$A:$K,11,FALSE),"-")</f>
        <v>-</v>
      </c>
      <c r="AE32" s="6" t="str">
        <f t="shared" si="5"/>
        <v>DEPOSITED</v>
      </c>
      <c r="AF32" s="54">
        <f>SUMIFS(statement!$I:$I,statement!$K:$K,ANALISA!$AA32, statement!$B:$B,ANALISA!AF$4)</f>
        <v>0</v>
      </c>
      <c r="AG32" s="54">
        <f>SUMIFS(statement!$I:$I,statement!$K:$K,ANALISA!$AA32, statement!$B:$B,ANALISA!AG$4)</f>
        <v>0</v>
      </c>
      <c r="AH32" s="54">
        <f>SUMIFS(statement!$I:$I,statement!$K:$K,ANALISA!$AA32, statement!$B:$B,ANALISA!AH$4)</f>
        <v>0</v>
      </c>
      <c r="AI32" s="54">
        <f>SUMIFS(statement!$I:$I,statement!$K:$K,ANALISA!$AA32, statement!$B:$B,ANALISA!AI$4)</f>
        <v>0</v>
      </c>
      <c r="AJ32" s="54">
        <f>SUMIFS(statement!$I:$I,statement!$K:$K,ANALISA!$AA32, statement!$B:$B,ANALISA!AJ$4)</f>
        <v>0</v>
      </c>
      <c r="AK32" s="54">
        <f>SUMIFS(statement!$I:$I,statement!$K:$K,ANALISA!$AA32, statement!$B:$B,ANALISA!AK$4)</f>
        <v>0</v>
      </c>
      <c r="AL32" s="54">
        <f>SUMIFS(statement!$I:$I,statement!$K:$K,ANALISA!$AA32, statement!$B:$B,ANALISA!AL$4)</f>
        <v>0</v>
      </c>
      <c r="AM32" s="54">
        <f>SUMIFS(statement!$I:$I,statement!$K:$K,ANALISA!$AA32, statement!$B:$B,ANALISA!AM$4)</f>
        <v>0</v>
      </c>
      <c r="AN32" s="54">
        <f>SUMIFS(statement!$I:$I,statement!$K:$K,ANALISA!$AA32, statement!$B:$B,ANALISA!AN$4)</f>
        <v>0</v>
      </c>
      <c r="AO32" s="54">
        <f>SUMIFS(statement!$I:$I,statement!$K:$K,ANALISA!$AA32, statement!$B:$B,ANALISA!AO$4)</f>
        <v>0</v>
      </c>
      <c r="AP32" s="54">
        <f>SUMIFS(statement!$I:$I,statement!$K:$K,ANALISA!$AA32, statement!$B:$B,ANALISA!AP$4)</f>
        <v>0</v>
      </c>
      <c r="AQ32" s="54">
        <f>SUMIFS(statement!$I:$I,statement!$K:$K,ANALISA!$AA32, statement!$B:$B,ANALISA!AQ$4)</f>
        <v>0</v>
      </c>
      <c r="AR32" s="54">
        <f>SUMIFS(statement!$I:$I,statement!$K:$K,ANALISA!$AA32, statement!$B:$B,ANALISA!AR$4)</f>
        <v>0</v>
      </c>
      <c r="AS32" s="54">
        <f>SUMIFS(statement!$I:$I,statement!$K:$K,ANALISA!$AA32, statement!$B:$B,ANALISA!AS$4)</f>
        <v>0</v>
      </c>
      <c r="AT32" s="54">
        <f>SUMIFS(statement!$I:$I,statement!$K:$K,ANALISA!$AA32, statement!$B:$B,ANALISA!AT$4)</f>
        <v>0</v>
      </c>
      <c r="AU32" s="54">
        <f>SUMIFS(statement!$I:$I,statement!$K:$K,ANALISA!$AA32, statement!$B:$B,ANALISA!AU$4)</f>
        <v>0</v>
      </c>
      <c r="AV32" s="54">
        <f>SUMIFS(statement!$I:$I,statement!$K:$K,ANALISA!$AA32, statement!$B:$B,ANALISA!AV$4)</f>
        <v>0</v>
      </c>
      <c r="AW32" s="54">
        <f>SUMIFS(statement!$I:$I,statement!$K:$K,ANALISA!$AA32, statement!$B:$B,ANALISA!AW$4)</f>
        <v>0</v>
      </c>
      <c r="AX32" s="54">
        <f>SUMIFS(statement!$I:$I,statement!$K:$K,ANALISA!$AA32, statement!$B:$B,ANALISA!AX$4)</f>
        <v>0</v>
      </c>
    </row>
    <row r="33" spans="1:50" ht="15.6" customHeight="1" x14ac:dyDescent="0.3">
      <c r="A33" s="52">
        <f t="shared" si="0"/>
        <v>46291</v>
      </c>
      <c r="B33" s="9" t="str">
        <f t="shared" si="1"/>
        <v>26-Sep-2026 Saturday</v>
      </c>
      <c r="C33" s="53">
        <v>46291</v>
      </c>
      <c r="D33" s="54">
        <f>SUMIF(statement!$K:$K,ANALISA!AA33,statement!$F:$F)</f>
        <v>0</v>
      </c>
      <c r="E33" s="54">
        <f>SUMIFS(statement!$I:$I,statement!$K:$K,ANALISA!$AA33, statement!$B:$B,ANALISA!E$4)</f>
        <v>0</v>
      </c>
      <c r="F33" s="54">
        <f>SUMIFS(statement!$H:$H,statement!$K:$K,ANALISA!$AA33, statement!$B:$B,ANALISA!F$4)</f>
        <v>0</v>
      </c>
      <c r="G33" s="54">
        <f>SUMIFS(statement!$I:$I,statement!$K:$K,ANALISA!$AA33, statement!$B:$B,ANALISA!G$4)</f>
        <v>0</v>
      </c>
      <c r="H33" s="54">
        <f>SUMIFS(statement!$I:$I,statement!$K:$K,ANALISA!$AA33, statement!$B:$B,ANALISA!H$4)</f>
        <v>0</v>
      </c>
      <c r="I33" s="54">
        <f>SUMIFS(statement!$I:$I,statement!$K:$K,ANALISA!$AA33, statement!$B:$B,ANALISA!I$4)</f>
        <v>0</v>
      </c>
      <c r="J33" s="54">
        <f>SUMIFS(statement!$I:$I,statement!$K:$K,ANALISA!$AA33, statement!$B:$B,ANALISA!J$4)</f>
        <v>0</v>
      </c>
      <c r="K33" s="54">
        <f>SUMIFS(statement!$I:$I,statement!$K:$K,ANALISA!$AA33, statement!$B:$B,ANALISA!K$4)</f>
        <v>0</v>
      </c>
      <c r="L33" s="54">
        <f t="shared" si="2"/>
        <v>0</v>
      </c>
      <c r="M33" s="54">
        <f>SUMIFS(statement!$I:$I,statement!$K:$K,ANALISA!$AA33, statement!$B:$B,ANALISA!M$4)</f>
        <v>0</v>
      </c>
      <c r="N33" s="54">
        <f>SUMIFS(statement!$I:$I,statement!$K:$K,ANALISA!$AA33, statement!$B:$B,ANALISA!N$4)</f>
        <v>0</v>
      </c>
      <c r="O33" s="54">
        <f>SUMIFS(statement!$I:$I,statement!$K:$K,ANALISA!$AA33, statement!$B:$B,ANALISA!O$4)</f>
        <v>0</v>
      </c>
      <c r="P33" s="54">
        <f>SUMIFS(statement!$I:$I,statement!$K:$K,ANALISA!$AA33, statement!$B:$B,ANALISA!P$4)</f>
        <v>0</v>
      </c>
      <c r="Q33" s="54">
        <f>SUMIFS(statement!$I:$I,statement!$K:$K,ANALISA!$AA33, statement!$B:$B,ANALISA!Q$4)</f>
        <v>0</v>
      </c>
      <c r="R33" s="54">
        <f>SUMIF(statement!$K:$K,ANALISA!AA33,statement!$J:$J)</f>
        <v>0</v>
      </c>
      <c r="S33" s="55">
        <f t="shared" si="3"/>
        <v>0</v>
      </c>
      <c r="T33" s="56">
        <f>IFERROR(VLOOKUP(S33,RK!$D$1:$E$65536,1,FALSE),0)</f>
        <v>0</v>
      </c>
      <c r="U33" s="57" t="e">
        <f>VLOOKUP(T33,RK!$D$1:$E$65536,2,FALSE)</f>
        <v>#N/A</v>
      </c>
      <c r="V33" s="58"/>
      <c r="W33" s="59" t="e">
        <f>VLOOKUP(V33,RK!$D$1:$E$65536,2,FALSE)</f>
        <v>#N/A</v>
      </c>
      <c r="X33" s="60">
        <f t="shared" si="6"/>
        <v>0</v>
      </c>
      <c r="Y33" s="55">
        <v>0</v>
      </c>
      <c r="Z33" s="55">
        <f t="shared" si="7"/>
        <v>0</v>
      </c>
      <c r="AA33" s="61">
        <v>26</v>
      </c>
      <c r="AC33" s="40">
        <f t="shared" si="4"/>
        <v>0</v>
      </c>
      <c r="AD33" s="63" t="str">
        <f>IFERROR(VLOOKUP(AB33,BDEPO!$A:$K,11,FALSE),"-")</f>
        <v>-</v>
      </c>
      <c r="AE33" s="6" t="str">
        <f t="shared" si="5"/>
        <v>DEPOSITED</v>
      </c>
      <c r="AF33" s="54">
        <f>SUMIFS(statement!$I:$I,statement!$K:$K,ANALISA!$AA33, statement!$B:$B,ANALISA!AF$4)</f>
        <v>0</v>
      </c>
      <c r="AG33" s="54">
        <f>SUMIFS(statement!$I:$I,statement!$K:$K,ANALISA!$AA33, statement!$B:$B,ANALISA!AG$4)</f>
        <v>0</v>
      </c>
      <c r="AH33" s="54">
        <f>SUMIFS(statement!$I:$I,statement!$K:$K,ANALISA!$AA33, statement!$B:$B,ANALISA!AH$4)</f>
        <v>0</v>
      </c>
      <c r="AI33" s="54">
        <f>SUMIFS(statement!$I:$I,statement!$K:$K,ANALISA!$AA33, statement!$B:$B,ANALISA!AI$4)</f>
        <v>0</v>
      </c>
      <c r="AJ33" s="54">
        <f>SUMIFS(statement!$I:$I,statement!$K:$K,ANALISA!$AA33, statement!$B:$B,ANALISA!AJ$4)</f>
        <v>0</v>
      </c>
      <c r="AK33" s="54">
        <f>SUMIFS(statement!$I:$I,statement!$K:$K,ANALISA!$AA33, statement!$B:$B,ANALISA!AK$4)</f>
        <v>0</v>
      </c>
      <c r="AL33" s="54">
        <f>SUMIFS(statement!$I:$I,statement!$K:$K,ANALISA!$AA33, statement!$B:$B,ANALISA!AL$4)</f>
        <v>0</v>
      </c>
      <c r="AM33" s="54">
        <f>SUMIFS(statement!$I:$I,statement!$K:$K,ANALISA!$AA33, statement!$B:$B,ANALISA!AM$4)</f>
        <v>0</v>
      </c>
      <c r="AN33" s="54">
        <f>SUMIFS(statement!$I:$I,statement!$K:$K,ANALISA!$AA33, statement!$B:$B,ANALISA!AN$4)</f>
        <v>0</v>
      </c>
      <c r="AO33" s="54">
        <f>SUMIFS(statement!$I:$I,statement!$K:$K,ANALISA!$AA33, statement!$B:$B,ANALISA!AO$4)</f>
        <v>0</v>
      </c>
      <c r="AP33" s="54">
        <f>SUMIFS(statement!$I:$I,statement!$K:$K,ANALISA!$AA33, statement!$B:$B,ANALISA!AP$4)</f>
        <v>0</v>
      </c>
      <c r="AQ33" s="54">
        <f>SUMIFS(statement!$I:$I,statement!$K:$K,ANALISA!$AA33, statement!$B:$B,ANALISA!AQ$4)</f>
        <v>0</v>
      </c>
      <c r="AR33" s="54">
        <f>SUMIFS(statement!$I:$I,statement!$K:$K,ANALISA!$AA33, statement!$B:$B,ANALISA!AR$4)</f>
        <v>0</v>
      </c>
      <c r="AS33" s="54">
        <f>SUMIFS(statement!$I:$I,statement!$K:$K,ANALISA!$AA33, statement!$B:$B,ANALISA!AS$4)</f>
        <v>0</v>
      </c>
      <c r="AT33" s="54">
        <f>SUMIFS(statement!$I:$I,statement!$K:$K,ANALISA!$AA33, statement!$B:$B,ANALISA!AT$4)</f>
        <v>0</v>
      </c>
      <c r="AU33" s="54">
        <f>SUMIFS(statement!$I:$I,statement!$K:$K,ANALISA!$AA33, statement!$B:$B,ANALISA!AU$4)</f>
        <v>0</v>
      </c>
      <c r="AV33" s="54">
        <f>SUMIFS(statement!$I:$I,statement!$K:$K,ANALISA!$AA33, statement!$B:$B,ANALISA!AV$4)</f>
        <v>0</v>
      </c>
      <c r="AW33" s="54">
        <f>SUMIFS(statement!$I:$I,statement!$K:$K,ANALISA!$AA33, statement!$B:$B,ANALISA!AW$4)</f>
        <v>0</v>
      </c>
      <c r="AX33" s="54">
        <f>SUMIFS(statement!$I:$I,statement!$K:$K,ANALISA!$AA33, statement!$B:$B,ANALISA!AX$4)</f>
        <v>0</v>
      </c>
    </row>
    <row r="34" spans="1:50" ht="15.6" customHeight="1" x14ac:dyDescent="0.3">
      <c r="A34" s="52">
        <f t="shared" si="0"/>
        <v>46292</v>
      </c>
      <c r="B34" s="9" t="str">
        <f t="shared" si="1"/>
        <v>27-Sep-2026 Sunday</v>
      </c>
      <c r="C34" s="53">
        <v>46292</v>
      </c>
      <c r="D34" s="54">
        <f>SUMIF(statement!$K:$K,ANALISA!AA34,statement!$F:$F)</f>
        <v>0</v>
      </c>
      <c r="E34" s="54">
        <f>SUMIFS(statement!$I:$I,statement!$K:$K,ANALISA!$AA34, statement!$B:$B,ANALISA!E$4)</f>
        <v>0</v>
      </c>
      <c r="F34" s="54">
        <f>SUMIFS(statement!$H:$H,statement!$K:$K,ANALISA!$AA34, statement!$B:$B,ANALISA!F$4)</f>
        <v>0</v>
      </c>
      <c r="G34" s="54">
        <f>SUMIFS(statement!$I:$I,statement!$K:$K,ANALISA!$AA34, statement!$B:$B,ANALISA!G$4)</f>
        <v>0</v>
      </c>
      <c r="H34" s="54">
        <f>SUMIFS(statement!$I:$I,statement!$K:$K,ANALISA!$AA34, statement!$B:$B,ANALISA!H$4)</f>
        <v>0</v>
      </c>
      <c r="I34" s="54">
        <f>SUMIFS(statement!$I:$I,statement!$K:$K,ANALISA!$AA34, statement!$B:$B,ANALISA!I$4)</f>
        <v>0</v>
      </c>
      <c r="J34" s="54">
        <f>SUMIFS(statement!$I:$I,statement!$K:$K,ANALISA!$AA34, statement!$B:$B,ANALISA!J$4)</f>
        <v>0</v>
      </c>
      <c r="K34" s="54">
        <f>SUMIFS(statement!$I:$I,statement!$K:$K,ANALISA!$AA34, statement!$B:$B,ANALISA!K$4)</f>
        <v>0</v>
      </c>
      <c r="L34" s="54">
        <f t="shared" si="2"/>
        <v>0</v>
      </c>
      <c r="M34" s="54">
        <f>SUMIFS(statement!$I:$I,statement!$K:$K,ANALISA!$AA34, statement!$B:$B,ANALISA!M$4)</f>
        <v>0</v>
      </c>
      <c r="N34" s="54">
        <f>SUMIFS(statement!$I:$I,statement!$K:$K,ANALISA!$AA34, statement!$B:$B,ANALISA!N$4)</f>
        <v>0</v>
      </c>
      <c r="O34" s="54">
        <f>SUMIFS(statement!$I:$I,statement!$K:$K,ANALISA!$AA34, statement!$B:$B,ANALISA!O$4)</f>
        <v>0</v>
      </c>
      <c r="P34" s="54">
        <f>SUMIFS(statement!$I:$I,statement!$K:$K,ANALISA!$AA34, statement!$B:$B,ANALISA!P$4)</f>
        <v>0</v>
      </c>
      <c r="Q34" s="54">
        <f>SUMIFS(statement!$I:$I,statement!$K:$K,ANALISA!$AA34, statement!$B:$B,ANALISA!Q$4)</f>
        <v>0</v>
      </c>
      <c r="R34" s="54">
        <f>SUMIF(statement!$K:$K,ANALISA!AA34,statement!$J:$J)</f>
        <v>0</v>
      </c>
      <c r="S34" s="55">
        <f t="shared" si="3"/>
        <v>0</v>
      </c>
      <c r="T34" s="56">
        <f>IFERROR(VLOOKUP(S34,RK!$D$1:$E$65536,1,FALSE),0)</f>
        <v>0</v>
      </c>
      <c r="U34" s="57" t="e">
        <f>VLOOKUP(T34,RK!$D$1:$E$65536,2,FALSE)</f>
        <v>#N/A</v>
      </c>
      <c r="V34" s="58"/>
      <c r="W34" s="59" t="e">
        <f>VLOOKUP(V34,RK!$D$1:$E$65536,2,FALSE)</f>
        <v>#N/A</v>
      </c>
      <c r="X34" s="60">
        <f t="shared" si="6"/>
        <v>0</v>
      </c>
      <c r="Y34" s="55">
        <v>0</v>
      </c>
      <c r="Z34" s="55">
        <f t="shared" si="7"/>
        <v>0</v>
      </c>
      <c r="AA34" s="61">
        <v>27</v>
      </c>
      <c r="AC34" s="40">
        <f t="shared" si="4"/>
        <v>0</v>
      </c>
      <c r="AD34" s="63" t="str">
        <f>IFERROR(VLOOKUP(AB34,BDEPO!$A:$K,11,FALSE),"-")</f>
        <v>-</v>
      </c>
      <c r="AE34" s="6" t="str">
        <f t="shared" si="5"/>
        <v>DEPOSITED</v>
      </c>
      <c r="AF34" s="54">
        <f>SUMIFS(statement!$I:$I,statement!$K:$K,ANALISA!$AA34, statement!$B:$B,ANALISA!AF$4)</f>
        <v>0</v>
      </c>
      <c r="AG34" s="54">
        <f>SUMIFS(statement!$I:$I,statement!$K:$K,ANALISA!$AA34, statement!$B:$B,ANALISA!AG$4)</f>
        <v>0</v>
      </c>
      <c r="AH34" s="54">
        <f>SUMIFS(statement!$I:$I,statement!$K:$K,ANALISA!$AA34, statement!$B:$B,ANALISA!AH$4)</f>
        <v>0</v>
      </c>
      <c r="AI34" s="54">
        <f>SUMIFS(statement!$I:$I,statement!$K:$K,ANALISA!$AA34, statement!$B:$B,ANALISA!AI$4)</f>
        <v>0</v>
      </c>
      <c r="AJ34" s="54">
        <f>SUMIFS(statement!$I:$I,statement!$K:$K,ANALISA!$AA34, statement!$B:$B,ANALISA!AJ$4)</f>
        <v>0</v>
      </c>
      <c r="AK34" s="54">
        <f>SUMIFS(statement!$I:$I,statement!$K:$K,ANALISA!$AA34, statement!$B:$B,ANALISA!AK$4)</f>
        <v>0</v>
      </c>
      <c r="AL34" s="54">
        <f>SUMIFS(statement!$I:$I,statement!$K:$K,ANALISA!$AA34, statement!$B:$B,ANALISA!AL$4)</f>
        <v>0</v>
      </c>
      <c r="AM34" s="54">
        <f>SUMIFS(statement!$I:$I,statement!$K:$K,ANALISA!$AA34, statement!$B:$B,ANALISA!AM$4)</f>
        <v>0</v>
      </c>
      <c r="AN34" s="54">
        <f>SUMIFS(statement!$I:$I,statement!$K:$K,ANALISA!$AA34, statement!$B:$B,ANALISA!AN$4)</f>
        <v>0</v>
      </c>
      <c r="AO34" s="54">
        <f>SUMIFS(statement!$I:$I,statement!$K:$K,ANALISA!$AA34, statement!$B:$B,ANALISA!AO$4)</f>
        <v>0</v>
      </c>
      <c r="AP34" s="54">
        <f>SUMIFS(statement!$I:$I,statement!$K:$K,ANALISA!$AA34, statement!$B:$B,ANALISA!AP$4)</f>
        <v>0</v>
      </c>
      <c r="AQ34" s="54">
        <f>SUMIFS(statement!$I:$I,statement!$K:$K,ANALISA!$AA34, statement!$B:$B,ANALISA!AQ$4)</f>
        <v>0</v>
      </c>
      <c r="AR34" s="54">
        <f>SUMIFS(statement!$I:$I,statement!$K:$K,ANALISA!$AA34, statement!$B:$B,ANALISA!AR$4)</f>
        <v>0</v>
      </c>
      <c r="AS34" s="54">
        <f>SUMIFS(statement!$I:$I,statement!$K:$K,ANALISA!$AA34, statement!$B:$B,ANALISA!AS$4)</f>
        <v>0</v>
      </c>
      <c r="AT34" s="54">
        <f>SUMIFS(statement!$I:$I,statement!$K:$K,ANALISA!$AA34, statement!$B:$B,ANALISA!AT$4)</f>
        <v>0</v>
      </c>
      <c r="AU34" s="54">
        <f>SUMIFS(statement!$I:$I,statement!$K:$K,ANALISA!$AA34, statement!$B:$B,ANALISA!AU$4)</f>
        <v>0</v>
      </c>
      <c r="AV34" s="54">
        <f>SUMIFS(statement!$I:$I,statement!$K:$K,ANALISA!$AA34, statement!$B:$B,ANALISA!AV$4)</f>
        <v>0</v>
      </c>
      <c r="AW34" s="54">
        <f>SUMIFS(statement!$I:$I,statement!$K:$K,ANALISA!$AA34, statement!$B:$B,ANALISA!AW$4)</f>
        <v>0</v>
      </c>
      <c r="AX34" s="54">
        <f>SUMIFS(statement!$I:$I,statement!$K:$K,ANALISA!$AA34, statement!$B:$B,ANALISA!AX$4)</f>
        <v>0</v>
      </c>
    </row>
    <row r="35" spans="1:50" ht="15.6" customHeight="1" x14ac:dyDescent="0.3">
      <c r="A35" s="52">
        <f t="shared" si="0"/>
        <v>46293</v>
      </c>
      <c r="B35" s="9" t="str">
        <f t="shared" si="1"/>
        <v>28-Sep-2026 Monday</v>
      </c>
      <c r="C35" s="53">
        <v>46293</v>
      </c>
      <c r="D35" s="54">
        <f>SUMIF(statement!$K:$K,ANALISA!AA35,statement!$F:$F)</f>
        <v>0</v>
      </c>
      <c r="E35" s="54">
        <f>SUMIFS(statement!$I:$I,statement!$K:$K,ANALISA!$AA35, statement!$B:$B,ANALISA!E$4)</f>
        <v>0</v>
      </c>
      <c r="F35" s="54">
        <f>SUMIFS(statement!$H:$H,statement!$K:$K,ANALISA!$AA35, statement!$B:$B,ANALISA!F$4)</f>
        <v>0</v>
      </c>
      <c r="G35" s="54">
        <f>SUMIFS(statement!$I:$I,statement!$K:$K,ANALISA!$AA35, statement!$B:$B,ANALISA!G$4)</f>
        <v>0</v>
      </c>
      <c r="H35" s="54">
        <f>SUMIFS(statement!$I:$I,statement!$K:$K,ANALISA!$AA35, statement!$B:$B,ANALISA!H$4)</f>
        <v>0</v>
      </c>
      <c r="I35" s="54">
        <f>SUMIFS(statement!$I:$I,statement!$K:$K,ANALISA!$AA35, statement!$B:$B,ANALISA!I$4)</f>
        <v>0</v>
      </c>
      <c r="J35" s="54">
        <f>SUMIFS(statement!$I:$I,statement!$K:$K,ANALISA!$AA35, statement!$B:$B,ANALISA!J$4)</f>
        <v>0</v>
      </c>
      <c r="K35" s="54">
        <f>SUMIFS(statement!$I:$I,statement!$K:$K,ANALISA!$AA35, statement!$B:$B,ANALISA!K$4)</f>
        <v>0</v>
      </c>
      <c r="L35" s="54">
        <f t="shared" si="2"/>
        <v>0</v>
      </c>
      <c r="M35" s="54">
        <f>SUMIFS(statement!$I:$I,statement!$K:$K,ANALISA!$AA35, statement!$B:$B,ANALISA!M$4)</f>
        <v>0</v>
      </c>
      <c r="N35" s="54">
        <f>SUMIFS(statement!$I:$I,statement!$K:$K,ANALISA!$AA35, statement!$B:$B,ANALISA!N$4)</f>
        <v>0</v>
      </c>
      <c r="O35" s="54">
        <f>SUMIFS(statement!$I:$I,statement!$K:$K,ANALISA!$AA35, statement!$B:$B,ANALISA!O$4)</f>
        <v>0</v>
      </c>
      <c r="P35" s="54">
        <f>SUMIFS(statement!$I:$I,statement!$K:$K,ANALISA!$AA35, statement!$B:$B,ANALISA!P$4)</f>
        <v>0</v>
      </c>
      <c r="Q35" s="54">
        <f>SUMIFS(statement!$I:$I,statement!$K:$K,ANALISA!$AA35, statement!$B:$B,ANALISA!Q$4)</f>
        <v>0</v>
      </c>
      <c r="R35" s="54">
        <f>SUMIF(statement!$K:$K,ANALISA!AA35,statement!$J:$J)</f>
        <v>0</v>
      </c>
      <c r="S35" s="55">
        <f t="shared" si="3"/>
        <v>0</v>
      </c>
      <c r="T35" s="56">
        <f>IFERROR(VLOOKUP(S35,RK!$D$1:$E$65536,1,FALSE),0)</f>
        <v>0</v>
      </c>
      <c r="U35" s="57" t="e">
        <f>VLOOKUP(T35,RK!$D$1:$E$65536,2,FALSE)</f>
        <v>#N/A</v>
      </c>
      <c r="V35" s="58"/>
      <c r="W35" s="59" t="e">
        <f>VLOOKUP(V35,RK!$D$1:$E$65536,2,FALSE)</f>
        <v>#N/A</v>
      </c>
      <c r="X35" s="60">
        <f t="shared" si="6"/>
        <v>0</v>
      </c>
      <c r="Y35" s="55">
        <v>0</v>
      </c>
      <c r="Z35" s="55">
        <f t="shared" si="7"/>
        <v>0</v>
      </c>
      <c r="AA35" s="61">
        <v>28</v>
      </c>
      <c r="AC35" s="40">
        <f t="shared" si="4"/>
        <v>0</v>
      </c>
      <c r="AD35" s="63" t="str">
        <f>IFERROR(VLOOKUP(AB35,BDEPO!$A:$K,11,FALSE),"-")</f>
        <v>-</v>
      </c>
      <c r="AE35" s="6" t="str">
        <f t="shared" si="5"/>
        <v>DEPOSITED</v>
      </c>
      <c r="AF35" s="54">
        <f>SUMIFS(statement!$I:$I,statement!$K:$K,ANALISA!$AA35, statement!$B:$B,ANALISA!AF$4)</f>
        <v>0</v>
      </c>
      <c r="AG35" s="54">
        <f>SUMIFS(statement!$I:$I,statement!$K:$K,ANALISA!$AA35, statement!$B:$B,ANALISA!AG$4)</f>
        <v>0</v>
      </c>
      <c r="AH35" s="54">
        <f>SUMIFS(statement!$I:$I,statement!$K:$K,ANALISA!$AA35, statement!$B:$B,ANALISA!AH$4)</f>
        <v>0</v>
      </c>
      <c r="AI35" s="54">
        <f>SUMIFS(statement!$I:$I,statement!$K:$K,ANALISA!$AA35, statement!$B:$B,ANALISA!AI$4)</f>
        <v>0</v>
      </c>
      <c r="AJ35" s="54">
        <f>SUMIFS(statement!$I:$I,statement!$K:$K,ANALISA!$AA35, statement!$B:$B,ANALISA!AJ$4)</f>
        <v>0</v>
      </c>
      <c r="AK35" s="54">
        <f>SUMIFS(statement!$I:$I,statement!$K:$K,ANALISA!$AA35, statement!$B:$B,ANALISA!AK$4)</f>
        <v>0</v>
      </c>
      <c r="AL35" s="54">
        <f>SUMIFS(statement!$I:$I,statement!$K:$K,ANALISA!$AA35, statement!$B:$B,ANALISA!AL$4)</f>
        <v>0</v>
      </c>
      <c r="AM35" s="54">
        <f>SUMIFS(statement!$I:$I,statement!$K:$K,ANALISA!$AA35, statement!$B:$B,ANALISA!AM$4)</f>
        <v>0</v>
      </c>
      <c r="AN35" s="54">
        <f>SUMIFS(statement!$I:$I,statement!$K:$K,ANALISA!$AA35, statement!$B:$B,ANALISA!AN$4)</f>
        <v>0</v>
      </c>
      <c r="AO35" s="54">
        <f>SUMIFS(statement!$I:$I,statement!$K:$K,ANALISA!$AA35, statement!$B:$B,ANALISA!AO$4)</f>
        <v>0</v>
      </c>
      <c r="AP35" s="54">
        <f>SUMIFS(statement!$I:$I,statement!$K:$K,ANALISA!$AA35, statement!$B:$B,ANALISA!AP$4)</f>
        <v>0</v>
      </c>
      <c r="AQ35" s="54">
        <f>SUMIFS(statement!$I:$I,statement!$K:$K,ANALISA!$AA35, statement!$B:$B,ANALISA!AQ$4)</f>
        <v>0</v>
      </c>
      <c r="AR35" s="54">
        <f>SUMIFS(statement!$I:$I,statement!$K:$K,ANALISA!$AA35, statement!$B:$B,ANALISA!AR$4)</f>
        <v>0</v>
      </c>
      <c r="AS35" s="54">
        <f>SUMIFS(statement!$I:$I,statement!$K:$K,ANALISA!$AA35, statement!$B:$B,ANALISA!AS$4)</f>
        <v>0</v>
      </c>
      <c r="AT35" s="54">
        <f>SUMIFS(statement!$I:$I,statement!$K:$K,ANALISA!$AA35, statement!$B:$B,ANALISA!AT$4)</f>
        <v>0</v>
      </c>
      <c r="AU35" s="54">
        <f>SUMIFS(statement!$I:$I,statement!$K:$K,ANALISA!$AA35, statement!$B:$B,ANALISA!AU$4)</f>
        <v>0</v>
      </c>
      <c r="AV35" s="54">
        <f>SUMIFS(statement!$I:$I,statement!$K:$K,ANALISA!$AA35, statement!$B:$B,ANALISA!AV$4)</f>
        <v>0</v>
      </c>
      <c r="AW35" s="54">
        <f>SUMIFS(statement!$I:$I,statement!$K:$K,ANALISA!$AA35, statement!$B:$B,ANALISA!AW$4)</f>
        <v>0</v>
      </c>
      <c r="AX35" s="54">
        <f>SUMIFS(statement!$I:$I,statement!$K:$K,ANALISA!$AA35, statement!$B:$B,ANALISA!AX$4)</f>
        <v>0</v>
      </c>
    </row>
    <row r="36" spans="1:50" s="5" customFormat="1" ht="15.6" customHeight="1" x14ac:dyDescent="0.3">
      <c r="A36" s="52">
        <f t="shared" si="0"/>
        <v>46294</v>
      </c>
      <c r="B36" s="9" t="str">
        <f t="shared" si="1"/>
        <v>29-Sep-2026 Tuesday</v>
      </c>
      <c r="C36" s="53">
        <v>46294</v>
      </c>
      <c r="D36" s="54">
        <f>SUMIF(statement!$K:$K,ANALISA!AA36,statement!$F:$F)</f>
        <v>0</v>
      </c>
      <c r="E36" s="54">
        <f>SUMIFS(statement!$I:$I,statement!$K:$K,ANALISA!$AA36, statement!$B:$B,ANALISA!E$4)</f>
        <v>0</v>
      </c>
      <c r="F36" s="54">
        <f>SUMIFS(statement!$H:$H,statement!$K:$K,ANALISA!$AA36, statement!$B:$B,ANALISA!F$4)</f>
        <v>0</v>
      </c>
      <c r="G36" s="54">
        <f>SUMIFS(statement!$I:$I,statement!$K:$K,ANALISA!$AA36, statement!$B:$B,ANALISA!G$4)</f>
        <v>0</v>
      </c>
      <c r="H36" s="54">
        <f>SUMIFS(statement!$I:$I,statement!$K:$K,ANALISA!$AA36, statement!$B:$B,ANALISA!H$4)</f>
        <v>0</v>
      </c>
      <c r="I36" s="54">
        <f>SUMIFS(statement!$I:$I,statement!$K:$K,ANALISA!$AA36, statement!$B:$B,ANALISA!I$4)</f>
        <v>0</v>
      </c>
      <c r="J36" s="54">
        <f>SUMIFS(statement!$I:$I,statement!$K:$K,ANALISA!$AA36, statement!$B:$B,ANALISA!J$4)</f>
        <v>0</v>
      </c>
      <c r="K36" s="54">
        <f>SUMIFS(statement!$I:$I,statement!$K:$K,ANALISA!$AA36, statement!$B:$B,ANALISA!K$4)</f>
        <v>0</v>
      </c>
      <c r="L36" s="54">
        <f t="shared" si="2"/>
        <v>0</v>
      </c>
      <c r="M36" s="54">
        <f>SUMIFS(statement!$I:$I,statement!$K:$K,ANALISA!$AA36, statement!$B:$B,ANALISA!M$4)</f>
        <v>0</v>
      </c>
      <c r="N36" s="54">
        <f>SUMIFS(statement!$I:$I,statement!$K:$K,ANALISA!$AA36, statement!$B:$B,ANALISA!N$4)</f>
        <v>0</v>
      </c>
      <c r="O36" s="54">
        <f>SUMIFS(statement!$I:$I,statement!$K:$K,ANALISA!$AA36, statement!$B:$B,ANALISA!O$4)</f>
        <v>0</v>
      </c>
      <c r="P36" s="54">
        <f>SUMIFS(statement!$I:$I,statement!$K:$K,ANALISA!$AA36, statement!$B:$B,ANALISA!P$4)</f>
        <v>0</v>
      </c>
      <c r="Q36" s="54">
        <f>SUMIFS(statement!$I:$I,statement!$K:$K,ANALISA!$AA36, statement!$B:$B,ANALISA!Q$4)</f>
        <v>0</v>
      </c>
      <c r="R36" s="54">
        <f>SUMIF(statement!$K:$K,ANALISA!AA36,statement!$J:$J)</f>
        <v>0</v>
      </c>
      <c r="S36" s="55">
        <f t="shared" si="3"/>
        <v>0</v>
      </c>
      <c r="T36" s="56">
        <f>IFERROR(VLOOKUP(S36,RK!$D$1:$E$65536,1,FALSE),0)</f>
        <v>0</v>
      </c>
      <c r="U36" s="57" t="e">
        <f>VLOOKUP(T36,RK!$D$1:$E$65536,2,FALSE)</f>
        <v>#N/A</v>
      </c>
      <c r="V36" s="58"/>
      <c r="W36" s="59" t="e">
        <f>VLOOKUP(V36,RK!$D$1:$E$65536,2,FALSE)</f>
        <v>#N/A</v>
      </c>
      <c r="X36" s="60">
        <f t="shared" si="6"/>
        <v>0</v>
      </c>
      <c r="Y36" s="55">
        <v>0</v>
      </c>
      <c r="Z36" s="55">
        <f t="shared" si="7"/>
        <v>0</v>
      </c>
      <c r="AA36" s="61">
        <v>29</v>
      </c>
      <c r="AB36" s="62"/>
      <c r="AC36" s="40">
        <f t="shared" si="4"/>
        <v>0</v>
      </c>
      <c r="AD36" s="63" t="str">
        <f>IFERROR(VLOOKUP(AB36,BDEPO!$A:$K,11,FALSE),"-")</f>
        <v>-</v>
      </c>
      <c r="AE36" s="6" t="str">
        <f t="shared" si="5"/>
        <v>DEPOSITED</v>
      </c>
      <c r="AF36" s="54">
        <f>SUMIFS(statement!$I:$I,statement!$K:$K,ANALISA!$AA36, statement!$B:$B,ANALISA!AF$4)</f>
        <v>0</v>
      </c>
      <c r="AG36" s="54">
        <f>SUMIFS(statement!$I:$I,statement!$K:$K,ANALISA!$AA36, statement!$B:$B,ANALISA!AG$4)</f>
        <v>0</v>
      </c>
      <c r="AH36" s="54">
        <f>SUMIFS(statement!$I:$I,statement!$K:$K,ANALISA!$AA36, statement!$B:$B,ANALISA!AH$4)</f>
        <v>0</v>
      </c>
      <c r="AI36" s="54">
        <f>SUMIFS(statement!$I:$I,statement!$K:$K,ANALISA!$AA36, statement!$B:$B,ANALISA!AI$4)</f>
        <v>0</v>
      </c>
      <c r="AJ36" s="54">
        <f>SUMIFS(statement!$I:$I,statement!$K:$K,ANALISA!$AA36, statement!$B:$B,ANALISA!AJ$4)</f>
        <v>0</v>
      </c>
      <c r="AK36" s="54">
        <f>SUMIFS(statement!$I:$I,statement!$K:$K,ANALISA!$AA36, statement!$B:$B,ANALISA!AK$4)</f>
        <v>0</v>
      </c>
      <c r="AL36" s="54">
        <f>SUMIFS(statement!$I:$I,statement!$K:$K,ANALISA!$AA36, statement!$B:$B,ANALISA!AL$4)</f>
        <v>0</v>
      </c>
      <c r="AM36" s="54">
        <f>SUMIFS(statement!$I:$I,statement!$K:$K,ANALISA!$AA36, statement!$B:$B,ANALISA!AM$4)</f>
        <v>0</v>
      </c>
      <c r="AN36" s="54">
        <f>SUMIFS(statement!$I:$I,statement!$K:$K,ANALISA!$AA36, statement!$B:$B,ANALISA!AN$4)</f>
        <v>0</v>
      </c>
      <c r="AO36" s="54">
        <f>SUMIFS(statement!$I:$I,statement!$K:$K,ANALISA!$AA36, statement!$B:$B,ANALISA!AO$4)</f>
        <v>0</v>
      </c>
      <c r="AP36" s="54">
        <f>SUMIFS(statement!$I:$I,statement!$K:$K,ANALISA!$AA36, statement!$B:$B,ANALISA!AP$4)</f>
        <v>0</v>
      </c>
      <c r="AQ36" s="54">
        <f>SUMIFS(statement!$I:$I,statement!$K:$K,ANALISA!$AA36, statement!$B:$B,ANALISA!AQ$4)</f>
        <v>0</v>
      </c>
      <c r="AR36" s="54">
        <f>SUMIFS(statement!$I:$I,statement!$K:$K,ANALISA!$AA36, statement!$B:$B,ANALISA!AR$4)</f>
        <v>0</v>
      </c>
      <c r="AS36" s="54">
        <f>SUMIFS(statement!$I:$I,statement!$K:$K,ANALISA!$AA36, statement!$B:$B,ANALISA!AS$4)</f>
        <v>0</v>
      </c>
      <c r="AT36" s="54">
        <f>SUMIFS(statement!$I:$I,statement!$K:$K,ANALISA!$AA36, statement!$B:$B,ANALISA!AT$4)</f>
        <v>0</v>
      </c>
      <c r="AU36" s="54">
        <f>SUMIFS(statement!$I:$I,statement!$K:$K,ANALISA!$AA36, statement!$B:$B,ANALISA!AU$4)</f>
        <v>0</v>
      </c>
      <c r="AV36" s="54">
        <f>SUMIFS(statement!$I:$I,statement!$K:$K,ANALISA!$AA36, statement!$B:$B,ANALISA!AV$4)</f>
        <v>0</v>
      </c>
      <c r="AW36" s="54">
        <f>SUMIFS(statement!$I:$I,statement!$K:$K,ANALISA!$AA36, statement!$B:$B,ANALISA!AW$4)</f>
        <v>0</v>
      </c>
      <c r="AX36" s="54">
        <f>SUMIFS(statement!$I:$I,statement!$K:$K,ANALISA!$AA36, statement!$B:$B,ANALISA!AX$4)</f>
        <v>0</v>
      </c>
    </row>
    <row r="37" spans="1:50" s="5" customFormat="1" ht="15.6" customHeight="1" x14ac:dyDescent="0.3">
      <c r="A37" s="52">
        <f t="shared" si="0"/>
        <v>46295</v>
      </c>
      <c r="B37" s="9" t="str">
        <f t="shared" si="1"/>
        <v>30-Sep-2026 Wednesday</v>
      </c>
      <c r="C37" s="53">
        <v>46295</v>
      </c>
      <c r="D37" s="54">
        <f>SUMIF(statement!$K:$K,ANALISA!AA37,statement!$F:$F)</f>
        <v>0</v>
      </c>
      <c r="E37" s="54">
        <f>SUMIFS(statement!$I:$I,statement!$K:$K,ANALISA!$AA37, statement!$B:$B,ANALISA!E$4)</f>
        <v>0</v>
      </c>
      <c r="F37" s="54">
        <f>SUMIFS(statement!$H:$H,statement!$K:$K,ANALISA!$AA37, statement!$B:$B,ANALISA!F$4)</f>
        <v>0</v>
      </c>
      <c r="G37" s="54">
        <f>SUMIFS(statement!$I:$I,statement!$K:$K,ANALISA!$AA37, statement!$B:$B,ANALISA!G$4)</f>
        <v>0</v>
      </c>
      <c r="H37" s="54">
        <f>SUMIFS(statement!$I:$I,statement!$K:$K,ANALISA!$AA37, statement!$B:$B,ANALISA!H$4)</f>
        <v>0</v>
      </c>
      <c r="I37" s="54">
        <f>SUMIFS(statement!$I:$I,statement!$K:$K,ANALISA!$AA37, statement!$B:$B,ANALISA!I$4)</f>
        <v>0</v>
      </c>
      <c r="J37" s="54">
        <f>SUMIFS(statement!$I:$I,statement!$K:$K,ANALISA!$AA37, statement!$B:$B,ANALISA!J$4)</f>
        <v>0</v>
      </c>
      <c r="K37" s="54">
        <f>SUMIFS(statement!$I:$I,statement!$K:$K,ANALISA!$AA37, statement!$B:$B,ANALISA!K$4)</f>
        <v>0</v>
      </c>
      <c r="L37" s="54">
        <f t="shared" si="2"/>
        <v>0</v>
      </c>
      <c r="M37" s="54">
        <f>SUMIFS(statement!$I:$I,statement!$K:$K,ANALISA!$AA37, statement!$B:$B,ANALISA!M$4)</f>
        <v>0</v>
      </c>
      <c r="N37" s="54">
        <f>SUMIFS(statement!$I:$I,statement!$K:$K,ANALISA!$AA37, statement!$B:$B,ANALISA!N$4)</f>
        <v>0</v>
      </c>
      <c r="O37" s="54">
        <f>SUMIFS(statement!$I:$I,statement!$K:$K,ANALISA!$AA37, statement!$B:$B,ANALISA!O$4)</f>
        <v>0</v>
      </c>
      <c r="P37" s="54">
        <f>SUMIFS(statement!$I:$I,statement!$K:$K,ANALISA!$AA37, statement!$B:$B,ANALISA!P$4)</f>
        <v>0</v>
      </c>
      <c r="Q37" s="54">
        <f>SUMIFS(statement!$I:$I,statement!$K:$K,ANALISA!$AA37, statement!$B:$B,ANALISA!Q$4)</f>
        <v>0</v>
      </c>
      <c r="R37" s="54">
        <f>SUMIF(statement!$K:$K,ANALISA!AA37,statement!$J:$J)</f>
        <v>0</v>
      </c>
      <c r="S37" s="55">
        <f t="shared" si="3"/>
        <v>0</v>
      </c>
      <c r="T37" s="56">
        <f>IFERROR(VLOOKUP(S37,RK!$D$1:$E$65536,1,FALSE),0)</f>
        <v>0</v>
      </c>
      <c r="U37" s="57" t="e">
        <f>VLOOKUP(T37,RK!$D$1:$E$65536,2,FALSE)</f>
        <v>#N/A</v>
      </c>
      <c r="V37" s="58"/>
      <c r="W37" s="59" t="e">
        <f>VLOOKUP(V37,RK!$D$1:$E$65536,2,FALSE)</f>
        <v>#N/A</v>
      </c>
      <c r="X37" s="60">
        <f t="shared" si="6"/>
        <v>0</v>
      </c>
      <c r="Y37" s="55">
        <v>0</v>
      </c>
      <c r="Z37" s="55">
        <f t="shared" si="7"/>
        <v>0</v>
      </c>
      <c r="AA37" s="61">
        <v>30</v>
      </c>
      <c r="AB37" s="62"/>
      <c r="AC37" s="40">
        <f t="shared" si="4"/>
        <v>0</v>
      </c>
      <c r="AD37" s="63" t="str">
        <f>IFERROR(VLOOKUP(AB37,BDEPO!$A:$K,11,FALSE),"-")</f>
        <v>-</v>
      </c>
      <c r="AE37" s="6" t="str">
        <f t="shared" si="5"/>
        <v>DEPOSITED</v>
      </c>
      <c r="AF37" s="54">
        <f>SUMIFS(statement!$I:$I,statement!$K:$K,ANALISA!$AA37, statement!$B:$B,ANALISA!AF$4)</f>
        <v>0</v>
      </c>
      <c r="AG37" s="54">
        <f>SUMIFS(statement!$I:$I,statement!$K:$K,ANALISA!$AA37, statement!$B:$B,ANALISA!AG$4)</f>
        <v>0</v>
      </c>
      <c r="AH37" s="54">
        <f>SUMIFS(statement!$I:$I,statement!$K:$K,ANALISA!$AA37, statement!$B:$B,ANALISA!AH$4)</f>
        <v>0</v>
      </c>
      <c r="AI37" s="54">
        <f>SUMIFS(statement!$I:$I,statement!$K:$K,ANALISA!$AA37, statement!$B:$B,ANALISA!AI$4)</f>
        <v>0</v>
      </c>
      <c r="AJ37" s="54">
        <f>SUMIFS(statement!$I:$I,statement!$K:$K,ANALISA!$AA37, statement!$B:$B,ANALISA!AJ$4)</f>
        <v>0</v>
      </c>
      <c r="AK37" s="54">
        <f>SUMIFS(statement!$I:$I,statement!$K:$K,ANALISA!$AA37, statement!$B:$B,ANALISA!AK$4)</f>
        <v>0</v>
      </c>
      <c r="AL37" s="54">
        <f>SUMIFS(statement!$I:$I,statement!$K:$K,ANALISA!$AA37, statement!$B:$B,ANALISA!AL$4)</f>
        <v>0</v>
      </c>
      <c r="AM37" s="54">
        <f>SUMIFS(statement!$I:$I,statement!$K:$K,ANALISA!$AA37, statement!$B:$B,ANALISA!AM$4)</f>
        <v>0</v>
      </c>
      <c r="AN37" s="54">
        <f>SUMIFS(statement!$I:$I,statement!$K:$K,ANALISA!$AA37, statement!$B:$B,ANALISA!AN$4)</f>
        <v>0</v>
      </c>
      <c r="AO37" s="54">
        <f>SUMIFS(statement!$I:$I,statement!$K:$K,ANALISA!$AA37, statement!$B:$B,ANALISA!AO$4)</f>
        <v>0</v>
      </c>
      <c r="AP37" s="54">
        <f>SUMIFS(statement!$I:$I,statement!$K:$K,ANALISA!$AA37, statement!$B:$B,ANALISA!AP$4)</f>
        <v>0</v>
      </c>
      <c r="AQ37" s="54">
        <f>SUMIFS(statement!$I:$I,statement!$K:$K,ANALISA!$AA37, statement!$B:$B,ANALISA!AQ$4)</f>
        <v>0</v>
      </c>
      <c r="AR37" s="54">
        <f>SUMIFS(statement!$I:$I,statement!$K:$K,ANALISA!$AA37, statement!$B:$B,ANALISA!AR$4)</f>
        <v>0</v>
      </c>
      <c r="AS37" s="54">
        <f>SUMIFS(statement!$I:$I,statement!$K:$K,ANALISA!$AA37, statement!$B:$B,ANALISA!AS$4)</f>
        <v>0</v>
      </c>
      <c r="AT37" s="54">
        <f>SUMIFS(statement!$I:$I,statement!$K:$K,ANALISA!$AA37, statement!$B:$B,ANALISA!AT$4)</f>
        <v>0</v>
      </c>
      <c r="AU37" s="54">
        <f>SUMIFS(statement!$I:$I,statement!$K:$K,ANALISA!$AA37, statement!$B:$B,ANALISA!AU$4)</f>
        <v>0</v>
      </c>
      <c r="AV37" s="54">
        <f>SUMIFS(statement!$I:$I,statement!$K:$K,ANALISA!$AA37, statement!$B:$B,ANALISA!AV$4)</f>
        <v>0</v>
      </c>
      <c r="AW37" s="54">
        <f>SUMIFS(statement!$I:$I,statement!$K:$K,ANALISA!$AA37, statement!$B:$B,ANALISA!AW$4)</f>
        <v>0</v>
      </c>
      <c r="AX37" s="54">
        <f>SUMIFS(statement!$I:$I,statement!$K:$K,ANALISA!$AA37, statement!$B:$B,ANALISA!AX$4)</f>
        <v>0</v>
      </c>
    </row>
    <row r="38" spans="1:50" s="5" customFormat="1" ht="15.6" customHeight="1" x14ac:dyDescent="0.3">
      <c r="A38" s="52">
        <f t="shared" si="0"/>
        <v>46296</v>
      </c>
      <c r="B38" s="9" t="str">
        <f t="shared" si="1"/>
        <v>01-Oct-2026 Thursday</v>
      </c>
      <c r="C38" s="53">
        <v>46296</v>
      </c>
      <c r="D38" s="54">
        <f>SUMIF(statement!$K:$K,ANALISA!AA38,statement!$F:$F)</f>
        <v>0</v>
      </c>
      <c r="E38" s="54">
        <f>SUMIFS(statement!$I:$I,statement!$K:$K,ANALISA!$AA38, statement!$B:$B,ANALISA!E$4)</f>
        <v>0</v>
      </c>
      <c r="F38" s="54">
        <f>SUMIFS(statement!$H:$H,statement!$K:$K,ANALISA!$AA38, statement!$B:$B,ANALISA!F$4)</f>
        <v>0</v>
      </c>
      <c r="G38" s="54">
        <f>SUMIFS(statement!$I:$I,statement!$K:$K,ANALISA!$AA38, statement!$B:$B,ANALISA!G$4)</f>
        <v>0</v>
      </c>
      <c r="H38" s="54">
        <f>SUMIFS(statement!$I:$I,statement!$K:$K,ANALISA!$AA38, statement!$B:$B,ANALISA!H$4)</f>
        <v>0</v>
      </c>
      <c r="I38" s="54">
        <f>SUMIFS(statement!$I:$I,statement!$K:$K,ANALISA!$AA38, statement!$B:$B,ANALISA!I$4)</f>
        <v>0</v>
      </c>
      <c r="J38" s="54">
        <f>SUMIFS(statement!$I:$I,statement!$K:$K,ANALISA!$AA38, statement!$B:$B,ANALISA!J$4)</f>
        <v>0</v>
      </c>
      <c r="K38" s="54">
        <f>SUMIFS(statement!$I:$I,statement!$K:$K,ANALISA!$AA38, statement!$B:$B,ANALISA!K$4)</f>
        <v>0</v>
      </c>
      <c r="L38" s="54">
        <f t="shared" si="2"/>
        <v>0</v>
      </c>
      <c r="M38" s="54">
        <f>SUMIFS(statement!$I:$I,statement!$K:$K,ANALISA!$AA38, statement!$B:$B,ANALISA!M$4)</f>
        <v>0</v>
      </c>
      <c r="N38" s="54">
        <f>SUMIFS(statement!$I:$I,statement!$K:$K,ANALISA!$AA38, statement!$B:$B,ANALISA!N$4)</f>
        <v>0</v>
      </c>
      <c r="O38" s="54">
        <f>SUMIFS(statement!$I:$I,statement!$K:$K,ANALISA!$AA38, statement!$B:$B,ANALISA!O$4)</f>
        <v>0</v>
      </c>
      <c r="P38" s="54">
        <f>SUMIFS(statement!$I:$I,statement!$K:$K,ANALISA!$AA38, statement!$B:$B,ANALISA!P$4)</f>
        <v>0</v>
      </c>
      <c r="Q38" s="54">
        <f>SUMIFS(statement!$I:$I,statement!$K:$K,ANALISA!$AA38, statement!$B:$B,ANALISA!Q$4)</f>
        <v>0</v>
      </c>
      <c r="R38" s="54">
        <f>SUMIF(statement!$K:$K,ANALISA!AA38,statement!$J:$J)</f>
        <v>0</v>
      </c>
      <c r="S38" s="55">
        <f t="shared" si="3"/>
        <v>0</v>
      </c>
      <c r="T38" s="56">
        <f>IFERROR(VLOOKUP(S38,RK!$D$1:$E$65536,1,FALSE),0)</f>
        <v>0</v>
      </c>
      <c r="U38" s="57" t="e">
        <f>VLOOKUP(T38,RK!$D$1:$E$65536,2,FALSE)</f>
        <v>#N/A</v>
      </c>
      <c r="V38" s="58"/>
      <c r="W38" s="59" t="e">
        <f>VLOOKUP(V38,RK!$D$1:$E$65536,2,FALSE)</f>
        <v>#N/A</v>
      </c>
      <c r="X38" s="60">
        <f t="shared" si="6"/>
        <v>0</v>
      </c>
      <c r="Y38" s="55">
        <v>0</v>
      </c>
      <c r="Z38" s="55">
        <f t="shared" si="7"/>
        <v>0</v>
      </c>
      <c r="AA38" s="61">
        <v>31</v>
      </c>
      <c r="AB38" s="62"/>
      <c r="AC38" s="40">
        <f t="shared" si="4"/>
        <v>0</v>
      </c>
      <c r="AD38" s="63" t="str">
        <f>IFERROR(VLOOKUP(AB38,BDEPO!$A:$K,11,FALSE),"-")</f>
        <v>-</v>
      </c>
      <c r="AE38" s="6" t="str">
        <f t="shared" si="5"/>
        <v>DEPOSITED</v>
      </c>
      <c r="AF38" s="54">
        <f>SUMIFS(statement!$I:$I,statement!$K:$K,ANALISA!$AA38, statement!$B:$B,ANALISA!AF$4)</f>
        <v>0</v>
      </c>
      <c r="AG38" s="54">
        <f>SUMIFS(statement!$I:$I,statement!$K:$K,ANALISA!$AA38, statement!$B:$B,ANALISA!AG$4)</f>
        <v>0</v>
      </c>
      <c r="AH38" s="54">
        <f>SUMIFS(statement!$I:$I,statement!$K:$K,ANALISA!$AA38, statement!$B:$B,ANALISA!AH$4)</f>
        <v>0</v>
      </c>
      <c r="AI38" s="54">
        <f>SUMIFS(statement!$I:$I,statement!$K:$K,ANALISA!$AA38, statement!$B:$B,ANALISA!AI$4)</f>
        <v>0</v>
      </c>
      <c r="AJ38" s="54">
        <f>SUMIFS(statement!$I:$I,statement!$K:$K,ANALISA!$AA38, statement!$B:$B,ANALISA!AJ$4)</f>
        <v>0</v>
      </c>
      <c r="AK38" s="54">
        <f>SUMIFS(statement!$I:$I,statement!$K:$K,ANALISA!$AA38, statement!$B:$B,ANALISA!AK$4)</f>
        <v>0</v>
      </c>
      <c r="AL38" s="54">
        <f>SUMIFS(statement!$I:$I,statement!$K:$K,ANALISA!$AA38, statement!$B:$B,ANALISA!AL$4)</f>
        <v>0</v>
      </c>
      <c r="AM38" s="54">
        <f>SUMIFS(statement!$I:$I,statement!$K:$K,ANALISA!$AA38, statement!$B:$B,ANALISA!AM$4)</f>
        <v>0</v>
      </c>
      <c r="AN38" s="54">
        <f>SUMIFS(statement!$I:$I,statement!$K:$K,ANALISA!$AA38, statement!$B:$B,ANALISA!AN$4)</f>
        <v>0</v>
      </c>
      <c r="AO38" s="54">
        <f>SUMIFS(statement!$I:$I,statement!$K:$K,ANALISA!$AA38, statement!$B:$B,ANALISA!AO$4)</f>
        <v>0</v>
      </c>
      <c r="AP38" s="54">
        <f>SUMIFS(statement!$I:$I,statement!$K:$K,ANALISA!$AA38, statement!$B:$B,ANALISA!AP$4)</f>
        <v>0</v>
      </c>
      <c r="AQ38" s="54">
        <f>SUMIFS(statement!$I:$I,statement!$K:$K,ANALISA!$AA38, statement!$B:$B,ANALISA!AQ$4)</f>
        <v>0</v>
      </c>
      <c r="AR38" s="54">
        <f>SUMIFS(statement!$I:$I,statement!$K:$K,ANALISA!$AA38, statement!$B:$B,ANALISA!AR$4)</f>
        <v>0</v>
      </c>
      <c r="AS38" s="54">
        <f>SUMIFS(statement!$I:$I,statement!$K:$K,ANALISA!$AA38, statement!$B:$B,ANALISA!AS$4)</f>
        <v>0</v>
      </c>
      <c r="AT38" s="54">
        <f>SUMIFS(statement!$I:$I,statement!$K:$K,ANALISA!$AA38, statement!$B:$B,ANALISA!AT$4)</f>
        <v>0</v>
      </c>
      <c r="AU38" s="54">
        <f>SUMIFS(statement!$I:$I,statement!$K:$K,ANALISA!$AA38, statement!$B:$B,ANALISA!AU$4)</f>
        <v>0</v>
      </c>
      <c r="AV38" s="54">
        <f>SUMIFS(statement!$I:$I,statement!$K:$K,ANALISA!$AA38, statement!$B:$B,ANALISA!AV$4)</f>
        <v>0</v>
      </c>
      <c r="AW38" s="54">
        <f>SUMIFS(statement!$I:$I,statement!$K:$K,ANALISA!$AA38, statement!$B:$B,ANALISA!AW$4)</f>
        <v>0</v>
      </c>
      <c r="AX38" s="54">
        <f>SUMIFS(statement!$I:$I,statement!$K:$K,ANALISA!$AA38, statement!$B:$B,ANALISA!AX$4)</f>
        <v>0</v>
      </c>
    </row>
    <row r="39" spans="1:50" s="5" customFormat="1" ht="16.2" customHeight="1" thickBot="1" x14ac:dyDescent="0.35">
      <c r="A39" s="1"/>
      <c r="B39" s="2"/>
      <c r="C39" s="64"/>
      <c r="D39" s="65"/>
      <c r="E39" s="54"/>
      <c r="F39" s="54"/>
      <c r="G39" s="54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66"/>
      <c r="V39" s="58"/>
      <c r="W39" s="59"/>
      <c r="X39" s="60"/>
      <c r="Y39" s="67"/>
      <c r="Z39" s="55">
        <f t="shared" si="7"/>
        <v>0</v>
      </c>
      <c r="AA39" s="68"/>
      <c r="AB39" s="62"/>
      <c r="AC39" s="51"/>
      <c r="AD39" s="51"/>
      <c r="AE39" s="6"/>
      <c r="AF39" s="55"/>
      <c r="AG39" s="55"/>
      <c r="AH39" s="55"/>
      <c r="AI39" s="55"/>
      <c r="AJ39" s="55"/>
      <c r="AK39" s="55"/>
      <c r="AL39" s="6"/>
      <c r="AM39" s="6"/>
      <c r="AN39" s="6"/>
      <c r="AO39" s="6"/>
    </row>
    <row r="40" spans="1:50" s="5" customFormat="1" ht="15.6" customHeight="1" x14ac:dyDescent="0.3">
      <c r="A40" s="1"/>
      <c r="B40" s="2"/>
      <c r="C40" s="69" t="s">
        <v>65</v>
      </c>
      <c r="D40" s="70">
        <f t="shared" ref="D40:N40" si="8">SUM(D8:D38)</f>
        <v>0</v>
      </c>
      <c r="E40" s="70">
        <f t="shared" si="8"/>
        <v>0</v>
      </c>
      <c r="F40" s="70">
        <f t="shared" si="8"/>
        <v>0</v>
      </c>
      <c r="G40" s="70">
        <f t="shared" si="8"/>
        <v>0</v>
      </c>
      <c r="H40" s="70">
        <f t="shared" si="8"/>
        <v>0</v>
      </c>
      <c r="I40" s="70">
        <f t="shared" si="8"/>
        <v>0</v>
      </c>
      <c r="J40" s="70">
        <f t="shared" si="8"/>
        <v>0</v>
      </c>
      <c r="K40" s="70">
        <f t="shared" si="8"/>
        <v>0</v>
      </c>
      <c r="L40" s="70">
        <f t="shared" si="8"/>
        <v>0</v>
      </c>
      <c r="M40" s="70">
        <f t="shared" si="8"/>
        <v>0</v>
      </c>
      <c r="N40" s="70">
        <f t="shared" si="8"/>
        <v>0</v>
      </c>
      <c r="O40" s="70"/>
      <c r="P40" s="70">
        <f t="shared" ref="P40:X40" si="9">SUM(P8:P38)</f>
        <v>0</v>
      </c>
      <c r="Q40" s="70">
        <f t="shared" si="9"/>
        <v>0</v>
      </c>
      <c r="R40" s="70">
        <f t="shared" si="9"/>
        <v>0</v>
      </c>
      <c r="S40" s="70">
        <f t="shared" si="9"/>
        <v>0</v>
      </c>
      <c r="T40" s="70">
        <f t="shared" si="9"/>
        <v>0</v>
      </c>
      <c r="U40" s="71" t="e">
        <f t="shared" si="9"/>
        <v>#N/A</v>
      </c>
      <c r="V40" s="70">
        <f t="shared" si="9"/>
        <v>0</v>
      </c>
      <c r="W40" s="71" t="e">
        <f t="shared" si="9"/>
        <v>#N/A</v>
      </c>
      <c r="X40" s="72">
        <f t="shared" si="9"/>
        <v>0</v>
      </c>
      <c r="Y40" s="73">
        <v>0</v>
      </c>
      <c r="Z40" s="73">
        <f t="shared" si="7"/>
        <v>0</v>
      </c>
      <c r="AA40" s="74"/>
      <c r="AB40" s="62"/>
      <c r="AC40" s="51"/>
      <c r="AD40" s="51"/>
      <c r="AE40" s="6"/>
      <c r="AG40" s="6"/>
      <c r="AH40" s="6"/>
      <c r="AI40" s="6"/>
    </row>
    <row r="41" spans="1:50" s="5" customFormat="1" ht="16.2" customHeight="1" thickBot="1" x14ac:dyDescent="0.35">
      <c r="A41" s="1"/>
      <c r="B41" s="2"/>
      <c r="C41" s="75" t="s">
        <v>66</v>
      </c>
      <c r="D41" s="76">
        <f t="shared" ref="D41:N41" si="10">+D40/30</f>
        <v>0</v>
      </c>
      <c r="E41" s="76">
        <f t="shared" si="10"/>
        <v>0</v>
      </c>
      <c r="F41" s="76">
        <f t="shared" si="10"/>
        <v>0</v>
      </c>
      <c r="G41" s="76">
        <f t="shared" si="10"/>
        <v>0</v>
      </c>
      <c r="H41" s="76">
        <f t="shared" si="10"/>
        <v>0</v>
      </c>
      <c r="I41" s="76">
        <f t="shared" si="10"/>
        <v>0</v>
      </c>
      <c r="J41" s="76">
        <f t="shared" si="10"/>
        <v>0</v>
      </c>
      <c r="K41" s="76">
        <f t="shared" si="10"/>
        <v>0</v>
      </c>
      <c r="L41" s="76">
        <f t="shared" si="10"/>
        <v>0</v>
      </c>
      <c r="M41" s="76">
        <f t="shared" si="10"/>
        <v>0</v>
      </c>
      <c r="N41" s="76">
        <f t="shared" si="10"/>
        <v>0</v>
      </c>
      <c r="O41" s="76"/>
      <c r="P41" s="76">
        <f t="shared" ref="P41:X41" si="11">+P40/30</f>
        <v>0</v>
      </c>
      <c r="Q41" s="76">
        <f t="shared" si="11"/>
        <v>0</v>
      </c>
      <c r="R41" s="76">
        <f t="shared" si="11"/>
        <v>0</v>
      </c>
      <c r="S41" s="76">
        <f t="shared" si="11"/>
        <v>0</v>
      </c>
      <c r="T41" s="76">
        <f t="shared" si="11"/>
        <v>0</v>
      </c>
      <c r="U41" s="77" t="e">
        <f t="shared" si="11"/>
        <v>#N/A</v>
      </c>
      <c r="V41" s="76">
        <f t="shared" si="11"/>
        <v>0</v>
      </c>
      <c r="W41" s="77" t="e">
        <f t="shared" si="11"/>
        <v>#N/A</v>
      </c>
      <c r="X41" s="78">
        <f t="shared" si="11"/>
        <v>0</v>
      </c>
      <c r="Y41" s="79">
        <v>0</v>
      </c>
      <c r="Z41" s="79">
        <f t="shared" si="7"/>
        <v>0</v>
      </c>
      <c r="AA41" s="80"/>
      <c r="AB41" s="62"/>
      <c r="AC41" s="51"/>
      <c r="AD41" s="51"/>
      <c r="AE41" s="6"/>
      <c r="AG41" s="6"/>
      <c r="AH41" s="6"/>
      <c r="AI41" s="6"/>
    </row>
    <row r="42" spans="1:50" s="5" customFormat="1" ht="15.6" customHeight="1" x14ac:dyDescent="0.3">
      <c r="A42" s="1"/>
      <c r="B42" s="2"/>
      <c r="C42" s="3"/>
      <c r="D42" s="3"/>
      <c r="E42" s="32"/>
      <c r="F42" s="32"/>
      <c r="G42" s="32"/>
      <c r="H42" s="40"/>
      <c r="I42" s="40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G42" s="6"/>
      <c r="AH42" s="6"/>
      <c r="AI42" s="6"/>
    </row>
    <row r="43" spans="1:50" ht="15.6" customHeight="1" x14ac:dyDescent="0.3">
      <c r="C43" s="81" t="s">
        <v>67</v>
      </c>
      <c r="D43" s="82">
        <f>T40</f>
        <v>0</v>
      </c>
      <c r="E43" s="83"/>
      <c r="F43" s="83"/>
      <c r="G43" s="83"/>
      <c r="J43" s="84"/>
      <c r="K43" s="84"/>
      <c r="L43" s="84"/>
      <c r="AE43" s="85"/>
    </row>
    <row r="44" spans="1:50" ht="15.6" customHeight="1" x14ac:dyDescent="0.3">
      <c r="C44" s="81" t="s">
        <v>68</v>
      </c>
      <c r="D44" s="82">
        <f>S40</f>
        <v>0</v>
      </c>
      <c r="J44" s="83"/>
      <c r="K44" s="83"/>
      <c r="L44" s="83"/>
      <c r="AE44" s="86"/>
    </row>
    <row r="45" spans="1:50" ht="15.6" customHeight="1" x14ac:dyDescent="0.3">
      <c r="C45" s="81" t="s">
        <v>69</v>
      </c>
      <c r="D45" s="82">
        <f>SUM(D44-D43)</f>
        <v>0</v>
      </c>
      <c r="J45" s="84"/>
      <c r="K45" s="84"/>
      <c r="L45" s="84"/>
      <c r="AE45" s="86"/>
    </row>
    <row r="46" spans="1:50" x14ac:dyDescent="0.3">
      <c r="AE46" s="86"/>
    </row>
    <row r="48" spans="1:50" x14ac:dyDescent="0.3">
      <c r="L48" s="6"/>
      <c r="AE48" s="6"/>
    </row>
    <row r="49" spans="12:31" x14ac:dyDescent="0.3">
      <c r="L49" s="6"/>
      <c r="AE49" s="6"/>
    </row>
    <row r="50" spans="12:31" x14ac:dyDescent="0.3">
      <c r="L50" s="6"/>
      <c r="AE50" s="6"/>
    </row>
    <row r="51" spans="12:31" x14ac:dyDescent="0.3">
      <c r="L51" s="83"/>
      <c r="AE51" s="83"/>
    </row>
  </sheetData>
  <mergeCells count="4">
    <mergeCell ref="A5:A6"/>
    <mergeCell ref="B5:B6"/>
    <mergeCell ref="AP3:AX3"/>
    <mergeCell ref="AF3:AO3"/>
  </mergeCells>
  <conditionalFormatting sqref="C8:C38">
    <cfRule type="expression" dxfId="5" priority="2">
      <formula>WEEKDAY(C8,2)&gt;5</formula>
    </cfRule>
    <cfRule type="expression" dxfId="4" priority="1">
      <formula>$C8=TODAY()</formula>
    </cfRule>
  </conditionalFormatting>
  <conditionalFormatting sqref="AB8:AB41">
    <cfRule type="expression" dxfId="3" priority="40">
      <formula>$AC8&gt;0</formula>
    </cfRule>
  </conditionalFormatting>
  <pageMargins left="0.25" right="0.18" top="1" bottom="0.28999999999999998" header="0.16" footer="0.19"/>
  <pageSetup scale="81" orientation="landscape" horizontalDpi="4294967293" verticalDpi="18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871"/>
  <sheetViews>
    <sheetView workbookViewId="0">
      <pane ySplit="1" topLeftCell="A2" activePane="bottomLeft" state="frozen"/>
      <selection activeCell="Z8" sqref="Z8"/>
      <selection pane="bottomLeft" sqref="A1:XFD1048576"/>
    </sheetView>
  </sheetViews>
  <sheetFormatPr defaultRowHeight="13.8" x14ac:dyDescent="0.3"/>
  <cols>
    <col min="1" max="1" width="26.44140625" style="88" bestFit="1" customWidth="1"/>
    <col min="2" max="256" width="9.109375" style="88" customWidth="1"/>
    <col min="257" max="257" width="26.44140625" style="88" bestFit="1" customWidth="1"/>
    <col min="258" max="512" width="9.109375" style="88" customWidth="1"/>
    <col min="513" max="513" width="26.44140625" style="88" bestFit="1" customWidth="1"/>
    <col min="514" max="768" width="9.109375" style="88" customWidth="1"/>
    <col min="769" max="769" width="26.44140625" style="88" bestFit="1" customWidth="1"/>
    <col min="770" max="1024" width="9.109375" style="88" customWidth="1"/>
    <col min="1025" max="1025" width="26.44140625" style="88" bestFit="1" customWidth="1"/>
    <col min="1026" max="1280" width="9.109375" style="88" customWidth="1"/>
    <col min="1281" max="1281" width="26.44140625" style="88" bestFit="1" customWidth="1"/>
    <col min="1282" max="1536" width="9.109375" style="88" customWidth="1"/>
    <col min="1537" max="1537" width="26.44140625" style="88" bestFit="1" customWidth="1"/>
    <col min="1538" max="1792" width="9.109375" style="88" customWidth="1"/>
    <col min="1793" max="1793" width="26.44140625" style="88" bestFit="1" customWidth="1"/>
    <col min="1794" max="2048" width="9.109375" style="88" customWidth="1"/>
    <col min="2049" max="2049" width="26.44140625" style="88" bestFit="1" customWidth="1"/>
    <col min="2050" max="2304" width="9.109375" style="88" customWidth="1"/>
    <col min="2305" max="2305" width="26.44140625" style="88" bestFit="1" customWidth="1"/>
    <col min="2306" max="2560" width="9.109375" style="88" customWidth="1"/>
    <col min="2561" max="2561" width="26.44140625" style="88" bestFit="1" customWidth="1"/>
    <col min="2562" max="2816" width="9.109375" style="88" customWidth="1"/>
    <col min="2817" max="2817" width="26.44140625" style="88" bestFit="1" customWidth="1"/>
    <col min="2818" max="3072" width="9.109375" style="88" customWidth="1"/>
    <col min="3073" max="3073" width="26.44140625" style="88" bestFit="1" customWidth="1"/>
    <col min="3074" max="3328" width="9.109375" style="88" customWidth="1"/>
    <col min="3329" max="3329" width="26.44140625" style="88" bestFit="1" customWidth="1"/>
    <col min="3330" max="3584" width="9.109375" style="88" customWidth="1"/>
    <col min="3585" max="3585" width="26.44140625" style="88" bestFit="1" customWidth="1"/>
    <col min="3586" max="3840" width="9.109375" style="88" customWidth="1"/>
    <col min="3841" max="3841" width="26.44140625" style="88" bestFit="1" customWidth="1"/>
    <col min="3842" max="4096" width="9.109375" style="88" customWidth="1"/>
    <col min="4097" max="4097" width="26.44140625" style="88" bestFit="1" customWidth="1"/>
    <col min="4098" max="4352" width="9.109375" style="88" customWidth="1"/>
    <col min="4353" max="4353" width="26.44140625" style="88" bestFit="1" customWidth="1"/>
    <col min="4354" max="4608" width="9.109375" style="88" customWidth="1"/>
    <col min="4609" max="4609" width="26.44140625" style="88" bestFit="1" customWidth="1"/>
    <col min="4610" max="4864" width="9.109375" style="88" customWidth="1"/>
    <col min="4865" max="4865" width="26.44140625" style="88" bestFit="1" customWidth="1"/>
    <col min="4866" max="5120" width="9.109375" style="88" customWidth="1"/>
    <col min="5121" max="5121" width="26.44140625" style="88" bestFit="1" customWidth="1"/>
    <col min="5122" max="5376" width="9.109375" style="88" customWidth="1"/>
    <col min="5377" max="5377" width="26.44140625" style="88" bestFit="1" customWidth="1"/>
    <col min="5378" max="5632" width="9.109375" style="88" customWidth="1"/>
    <col min="5633" max="5633" width="26.44140625" style="88" bestFit="1" customWidth="1"/>
    <col min="5634" max="5888" width="9.109375" style="88" customWidth="1"/>
    <col min="5889" max="5889" width="26.44140625" style="88" bestFit="1" customWidth="1"/>
    <col min="5890" max="6144" width="9.109375" style="88" customWidth="1"/>
    <col min="6145" max="6145" width="26.44140625" style="88" bestFit="1" customWidth="1"/>
    <col min="6146" max="6400" width="9.109375" style="88" customWidth="1"/>
    <col min="6401" max="6401" width="26.44140625" style="88" bestFit="1" customWidth="1"/>
    <col min="6402" max="6656" width="9.109375" style="88" customWidth="1"/>
    <col min="6657" max="6657" width="26.44140625" style="88" bestFit="1" customWidth="1"/>
    <col min="6658" max="6912" width="9.109375" style="88" customWidth="1"/>
    <col min="6913" max="6913" width="26.44140625" style="88" bestFit="1" customWidth="1"/>
    <col min="6914" max="7168" width="9.109375" style="88" customWidth="1"/>
    <col min="7169" max="7169" width="26.44140625" style="88" bestFit="1" customWidth="1"/>
    <col min="7170" max="7424" width="9.109375" style="88" customWidth="1"/>
    <col min="7425" max="7425" width="26.44140625" style="88" bestFit="1" customWidth="1"/>
    <col min="7426" max="7680" width="9.109375" style="88" customWidth="1"/>
    <col min="7681" max="7681" width="26.44140625" style="88" bestFit="1" customWidth="1"/>
    <col min="7682" max="7936" width="9.109375" style="88" customWidth="1"/>
    <col min="7937" max="7937" width="26.44140625" style="88" bestFit="1" customWidth="1"/>
    <col min="7938" max="8192" width="9.109375" style="88" customWidth="1"/>
    <col min="8193" max="8193" width="26.44140625" style="88" bestFit="1" customWidth="1"/>
    <col min="8194" max="8448" width="9.109375" style="88" customWidth="1"/>
    <col min="8449" max="8449" width="26.44140625" style="88" bestFit="1" customWidth="1"/>
    <col min="8450" max="8704" width="9.109375" style="88" customWidth="1"/>
    <col min="8705" max="8705" width="26.44140625" style="88" bestFit="1" customWidth="1"/>
    <col min="8706" max="8960" width="9.109375" style="88" customWidth="1"/>
    <col min="8961" max="8961" width="26.44140625" style="88" bestFit="1" customWidth="1"/>
    <col min="8962" max="9216" width="9.109375" style="88" customWidth="1"/>
    <col min="9217" max="9217" width="26.44140625" style="88" bestFit="1" customWidth="1"/>
    <col min="9218" max="9472" width="9.109375" style="88" customWidth="1"/>
    <col min="9473" max="9473" width="26.44140625" style="88" bestFit="1" customWidth="1"/>
    <col min="9474" max="9728" width="9.109375" style="88" customWidth="1"/>
    <col min="9729" max="9729" width="26.44140625" style="88" bestFit="1" customWidth="1"/>
    <col min="9730" max="9984" width="9.109375" style="88" customWidth="1"/>
    <col min="9985" max="9985" width="26.44140625" style="88" bestFit="1" customWidth="1"/>
    <col min="9986" max="10240" width="9.109375" style="88" customWidth="1"/>
    <col min="10241" max="10241" width="26.44140625" style="88" bestFit="1" customWidth="1"/>
    <col min="10242" max="10496" width="9.109375" style="88" customWidth="1"/>
    <col min="10497" max="10497" width="26.44140625" style="88" bestFit="1" customWidth="1"/>
    <col min="10498" max="10752" width="9.109375" style="88" customWidth="1"/>
    <col min="10753" max="10753" width="26.44140625" style="88" bestFit="1" customWidth="1"/>
    <col min="10754" max="11008" width="9.109375" style="88" customWidth="1"/>
    <col min="11009" max="11009" width="26.44140625" style="88" bestFit="1" customWidth="1"/>
    <col min="11010" max="11264" width="9.109375" style="88" customWidth="1"/>
    <col min="11265" max="11265" width="26.44140625" style="88" bestFit="1" customWidth="1"/>
    <col min="11266" max="11520" width="9.109375" style="88" customWidth="1"/>
    <col min="11521" max="11521" width="26.44140625" style="88" bestFit="1" customWidth="1"/>
    <col min="11522" max="11776" width="9.109375" style="88" customWidth="1"/>
    <col min="11777" max="11777" width="26.44140625" style="88" bestFit="1" customWidth="1"/>
    <col min="11778" max="12032" width="9.109375" style="88" customWidth="1"/>
    <col min="12033" max="12033" width="26.44140625" style="88" bestFit="1" customWidth="1"/>
    <col min="12034" max="12288" width="9.109375" style="88" customWidth="1"/>
    <col min="12289" max="12289" width="26.44140625" style="88" bestFit="1" customWidth="1"/>
    <col min="12290" max="12544" width="9.109375" style="88" customWidth="1"/>
    <col min="12545" max="12545" width="26.44140625" style="88" bestFit="1" customWidth="1"/>
    <col min="12546" max="12800" width="9.109375" style="88" customWidth="1"/>
    <col min="12801" max="12801" width="26.44140625" style="88" bestFit="1" customWidth="1"/>
    <col min="12802" max="13056" width="9.109375" style="88" customWidth="1"/>
    <col min="13057" max="13057" width="26.44140625" style="88" bestFit="1" customWidth="1"/>
    <col min="13058" max="13312" width="9.109375" style="88" customWidth="1"/>
    <col min="13313" max="13313" width="26.44140625" style="88" bestFit="1" customWidth="1"/>
    <col min="13314" max="13568" width="9.109375" style="88" customWidth="1"/>
    <col min="13569" max="13569" width="26.44140625" style="88" bestFit="1" customWidth="1"/>
    <col min="13570" max="13824" width="9.109375" style="88" customWidth="1"/>
    <col min="13825" max="13825" width="26.44140625" style="88" bestFit="1" customWidth="1"/>
    <col min="13826" max="14080" width="9.109375" style="88" customWidth="1"/>
    <col min="14081" max="14081" width="26.44140625" style="88" bestFit="1" customWidth="1"/>
    <col min="14082" max="14336" width="9.109375" style="88" customWidth="1"/>
    <col min="14337" max="14337" width="26.44140625" style="88" bestFit="1" customWidth="1"/>
    <col min="14338" max="14592" width="9.109375" style="88" customWidth="1"/>
    <col min="14593" max="14593" width="26.44140625" style="88" bestFit="1" customWidth="1"/>
    <col min="14594" max="14848" width="9.109375" style="88" customWidth="1"/>
    <col min="14849" max="14849" width="26.44140625" style="88" bestFit="1" customWidth="1"/>
    <col min="14850" max="15104" width="9.109375" style="88" customWidth="1"/>
    <col min="15105" max="15105" width="26.44140625" style="88" bestFit="1" customWidth="1"/>
    <col min="15106" max="15360" width="9.109375" style="88" customWidth="1"/>
    <col min="15361" max="15361" width="26.44140625" style="88" bestFit="1" customWidth="1"/>
    <col min="15362" max="15616" width="9.109375" style="88" customWidth="1"/>
    <col min="15617" max="15617" width="26.44140625" style="88" bestFit="1" customWidth="1"/>
    <col min="15618" max="15872" width="9.109375" style="88" customWidth="1"/>
    <col min="15873" max="15873" width="26.44140625" style="88" bestFit="1" customWidth="1"/>
    <col min="15874" max="16128" width="9.109375" style="88" customWidth="1"/>
    <col min="16129" max="16129" width="26.44140625" style="88" bestFit="1" customWidth="1"/>
    <col min="16130" max="16384" width="9.109375" style="88" customWidth="1"/>
  </cols>
  <sheetData>
    <row r="1" spans="1:1" x14ac:dyDescent="0.3">
      <c r="A1" s="87" t="s">
        <v>70</v>
      </c>
    </row>
    <row r="2" spans="1:1" ht="14.4" customHeight="1" x14ac:dyDescent="0.3"/>
    <row r="6" spans="1:1" ht="14.4" customHeight="1" x14ac:dyDescent="0.3"/>
    <row r="7" spans="1:1" ht="14.4" customHeight="1" x14ac:dyDescent="0.3"/>
    <row r="8" spans="1:1" ht="14.4" customHeight="1" x14ac:dyDescent="0.3"/>
    <row r="9" spans="1:1" ht="14.4" customHeight="1" x14ac:dyDescent="0.3"/>
    <row r="10" spans="1:1" ht="14.4" customHeight="1" x14ac:dyDescent="0.3"/>
    <row r="11" spans="1:1" ht="14.4" customHeight="1" x14ac:dyDescent="0.3"/>
    <row r="12" spans="1:1" ht="14.4" customHeight="1" x14ac:dyDescent="0.3"/>
    <row r="13" spans="1:1" ht="14.4" customHeight="1" x14ac:dyDescent="0.3"/>
    <row r="14" spans="1:1" ht="14.4" customHeight="1" x14ac:dyDescent="0.3"/>
    <row r="15" spans="1:1" ht="14.4" customHeight="1" x14ac:dyDescent="0.3"/>
    <row r="16" spans="1:1" ht="14.4" customHeight="1" x14ac:dyDescent="0.3"/>
    <row r="17" s="88" customFormat="1" ht="14.4" customHeight="1" x14ac:dyDescent="0.3"/>
    <row r="18" s="88" customFormat="1" ht="14.4" customHeight="1" x14ac:dyDescent="0.3"/>
    <row r="19" s="88" customFormat="1" ht="14.4" customHeight="1" x14ac:dyDescent="0.3"/>
    <row r="20" s="88" customFormat="1" ht="14.4" customHeight="1" x14ac:dyDescent="0.3"/>
    <row r="21" s="88" customFormat="1" ht="14.4" customHeight="1" x14ac:dyDescent="0.3"/>
    <row r="22" s="88" customFormat="1" ht="14.4" customHeight="1" x14ac:dyDescent="0.3"/>
    <row r="23" s="88" customFormat="1" ht="14.4" customHeight="1" x14ac:dyDescent="0.3"/>
    <row r="24" s="88" customFormat="1" ht="14.4" customHeight="1" x14ac:dyDescent="0.3"/>
    <row r="25" s="88" customFormat="1" ht="14.4" customHeight="1" x14ac:dyDescent="0.3"/>
    <row r="26" s="88" customFormat="1" ht="14.4" customHeight="1" x14ac:dyDescent="0.3"/>
    <row r="27" s="88" customFormat="1" ht="14.4" customHeight="1" x14ac:dyDescent="0.3"/>
    <row r="28" s="88" customFormat="1" ht="14.4" customHeight="1" x14ac:dyDescent="0.3"/>
    <row r="29" s="88" customFormat="1" ht="14.4" customHeight="1" x14ac:dyDescent="0.3"/>
    <row r="30" s="88" customFormat="1" ht="14.4" customHeight="1" x14ac:dyDescent="0.3"/>
    <row r="31" s="88" customFormat="1" ht="14.4" customHeight="1" x14ac:dyDescent="0.3"/>
    <row r="32" s="88" customFormat="1" ht="14.4" customHeight="1" x14ac:dyDescent="0.3"/>
    <row r="33" s="88" customFormat="1" ht="14.4" customHeight="1" x14ac:dyDescent="0.3"/>
    <row r="34" s="88" customFormat="1" ht="14.4" customHeight="1" x14ac:dyDescent="0.3"/>
    <row r="35" s="88" customFormat="1" ht="14.4" customHeight="1" x14ac:dyDescent="0.3"/>
    <row r="36" s="88" customFormat="1" ht="14.4" customHeight="1" x14ac:dyDescent="0.3"/>
    <row r="37" s="88" customFormat="1" ht="14.4" customHeight="1" x14ac:dyDescent="0.3"/>
    <row r="38" s="88" customFormat="1" ht="14.4" customHeight="1" x14ac:dyDescent="0.3"/>
    <row r="39" s="88" customFormat="1" ht="14.4" customHeight="1" x14ac:dyDescent="0.3"/>
    <row r="40" s="88" customFormat="1" ht="14.4" customHeight="1" x14ac:dyDescent="0.3"/>
    <row r="41" s="88" customFormat="1" ht="14.4" customHeight="1" x14ac:dyDescent="0.3"/>
    <row r="42" s="88" customFormat="1" ht="14.4" customHeight="1" x14ac:dyDescent="0.3"/>
    <row r="43" s="88" customFormat="1" ht="14.4" customHeight="1" x14ac:dyDescent="0.3"/>
    <row r="44" s="88" customFormat="1" ht="14.4" customHeight="1" x14ac:dyDescent="0.3"/>
    <row r="45" s="88" customFormat="1" ht="14.4" customHeight="1" x14ac:dyDescent="0.3"/>
    <row r="46" s="88" customFormat="1" ht="14.4" customHeight="1" x14ac:dyDescent="0.3"/>
    <row r="47" s="88" customFormat="1" ht="14.4" customHeight="1" x14ac:dyDescent="0.3"/>
    <row r="48" s="88" customFormat="1" ht="14.4" customHeight="1" x14ac:dyDescent="0.3"/>
    <row r="49" s="88" customFormat="1" ht="14.4" customHeight="1" x14ac:dyDescent="0.3"/>
    <row r="50" s="88" customFormat="1" ht="14.4" customHeight="1" x14ac:dyDescent="0.3"/>
    <row r="51" s="88" customFormat="1" ht="14.4" customHeight="1" x14ac:dyDescent="0.3"/>
    <row r="52" s="88" customFormat="1" ht="14.4" customHeight="1" x14ac:dyDescent="0.3"/>
    <row r="53" s="88" customFormat="1" ht="14.4" customHeight="1" x14ac:dyDescent="0.3"/>
    <row r="54" s="88" customFormat="1" ht="14.4" customHeight="1" x14ac:dyDescent="0.3"/>
    <row r="55" s="88" customFormat="1" ht="14.4" customHeight="1" x14ac:dyDescent="0.3"/>
    <row r="56" s="88" customFormat="1" ht="14.4" customHeight="1" x14ac:dyDescent="0.3"/>
    <row r="57" s="88" customFormat="1" ht="14.4" customHeight="1" x14ac:dyDescent="0.3"/>
    <row r="58" s="88" customFormat="1" ht="14.4" customHeight="1" x14ac:dyDescent="0.3"/>
    <row r="59" s="88" customFormat="1" ht="14.4" customHeight="1" x14ac:dyDescent="0.3"/>
    <row r="60" s="88" customFormat="1" ht="14.4" customHeight="1" x14ac:dyDescent="0.3"/>
    <row r="61" s="88" customFormat="1" ht="14.4" customHeight="1" x14ac:dyDescent="0.3"/>
    <row r="62" s="88" customFormat="1" ht="14.4" customHeight="1" x14ac:dyDescent="0.3"/>
    <row r="63" s="88" customFormat="1" ht="14.4" customHeight="1" x14ac:dyDescent="0.3"/>
    <row r="64" s="88" customFormat="1" ht="14.4" customHeight="1" x14ac:dyDescent="0.3"/>
    <row r="65" s="88" customFormat="1" ht="14.4" customHeight="1" x14ac:dyDescent="0.3"/>
    <row r="66" s="88" customFormat="1" ht="14.4" customHeight="1" x14ac:dyDescent="0.3"/>
    <row r="67" s="88" customFormat="1" ht="14.4" customHeight="1" x14ac:dyDescent="0.3"/>
    <row r="68" s="88" customFormat="1" ht="14.4" customHeight="1" x14ac:dyDescent="0.3"/>
    <row r="69" s="88" customFormat="1" ht="14.4" customHeight="1" x14ac:dyDescent="0.3"/>
    <row r="70" s="88" customFormat="1" ht="14.4" customHeight="1" x14ac:dyDescent="0.3"/>
    <row r="71" s="88" customFormat="1" ht="14.4" customHeight="1" x14ac:dyDescent="0.3"/>
    <row r="72" s="88" customFormat="1" ht="14.4" customHeight="1" x14ac:dyDescent="0.3"/>
    <row r="73" s="88" customFormat="1" ht="14.4" customHeight="1" x14ac:dyDescent="0.3"/>
    <row r="74" s="88" customFormat="1" ht="14.4" customHeight="1" x14ac:dyDescent="0.3"/>
    <row r="75" s="88" customFormat="1" ht="14.4" customHeight="1" x14ac:dyDescent="0.3"/>
    <row r="76" s="88" customFormat="1" ht="14.4" customHeight="1" x14ac:dyDescent="0.3"/>
    <row r="77" s="88" customFormat="1" ht="14.4" customHeight="1" x14ac:dyDescent="0.3"/>
    <row r="78" s="88" customFormat="1" ht="14.4" customHeight="1" x14ac:dyDescent="0.3"/>
    <row r="79" s="88" customFormat="1" ht="14.4" customHeight="1" x14ac:dyDescent="0.3"/>
    <row r="80" s="88" customFormat="1" ht="14.4" customHeight="1" x14ac:dyDescent="0.3"/>
    <row r="81" s="88" customFormat="1" ht="14.4" customHeight="1" x14ac:dyDescent="0.3"/>
    <row r="82" s="88" customFormat="1" ht="14.4" customHeight="1" x14ac:dyDescent="0.3"/>
    <row r="83" s="88" customFormat="1" ht="14.4" customHeight="1" x14ac:dyDescent="0.3"/>
    <row r="84" s="88" customFormat="1" ht="14.4" customHeight="1" x14ac:dyDescent="0.3"/>
    <row r="85" s="88" customFormat="1" ht="14.4" customHeight="1" x14ac:dyDescent="0.3"/>
    <row r="86" s="88" customFormat="1" ht="14.4" customHeight="1" x14ac:dyDescent="0.3"/>
    <row r="87" s="88" customFormat="1" ht="14.4" customHeight="1" x14ac:dyDescent="0.3"/>
    <row r="88" s="88" customFormat="1" ht="14.4" customHeight="1" x14ac:dyDescent="0.3"/>
    <row r="89" s="88" customFormat="1" ht="14.4" customHeight="1" x14ac:dyDescent="0.3"/>
    <row r="90" s="88" customFormat="1" ht="14.4" customHeight="1" x14ac:dyDescent="0.3"/>
    <row r="91" s="88" customFormat="1" ht="14.4" customHeight="1" x14ac:dyDescent="0.3"/>
    <row r="92" s="88" customFormat="1" ht="14.4" customHeight="1" x14ac:dyDescent="0.3"/>
    <row r="93" s="88" customFormat="1" ht="14.4" customHeight="1" x14ac:dyDescent="0.3"/>
    <row r="94" s="88" customFormat="1" ht="14.4" customHeight="1" x14ac:dyDescent="0.3"/>
    <row r="95" s="88" customFormat="1" ht="14.4" customHeight="1" x14ac:dyDescent="0.3"/>
    <row r="96" s="88" customFormat="1" ht="14.4" customHeight="1" x14ac:dyDescent="0.3"/>
    <row r="97" s="88" customFormat="1" ht="14.4" customHeight="1" x14ac:dyDescent="0.3"/>
    <row r="98" s="88" customFormat="1" ht="14.4" customHeight="1" x14ac:dyDescent="0.3"/>
    <row r="99" s="88" customFormat="1" ht="14.4" customHeight="1" x14ac:dyDescent="0.3"/>
    <row r="100" s="88" customFormat="1" ht="14.4" customHeight="1" x14ac:dyDescent="0.3"/>
    <row r="101" s="88" customFormat="1" ht="14.4" customHeight="1" x14ac:dyDescent="0.3"/>
    <row r="102" s="88" customFormat="1" ht="14.4" customHeight="1" x14ac:dyDescent="0.3"/>
    <row r="103" s="88" customFormat="1" ht="14.4" customHeight="1" x14ac:dyDescent="0.3"/>
    <row r="104" s="88" customFormat="1" ht="14.4" customHeight="1" x14ac:dyDescent="0.3"/>
    <row r="105" s="88" customFormat="1" ht="14.4" customHeight="1" x14ac:dyDescent="0.3"/>
    <row r="106" s="88" customFormat="1" ht="14.4" customHeight="1" x14ac:dyDescent="0.3"/>
    <row r="107" s="88" customFormat="1" ht="14.4" customHeight="1" x14ac:dyDescent="0.3"/>
    <row r="108" s="88" customFormat="1" ht="14.4" customHeight="1" x14ac:dyDescent="0.3"/>
    <row r="109" s="88" customFormat="1" ht="14.4" customHeight="1" x14ac:dyDescent="0.3"/>
    <row r="110" s="88" customFormat="1" ht="14.4" customHeight="1" x14ac:dyDescent="0.3"/>
    <row r="111" s="88" customFormat="1" ht="14.4" customHeight="1" x14ac:dyDescent="0.3"/>
    <row r="112" s="88" customFormat="1" ht="14.4" customHeight="1" x14ac:dyDescent="0.3"/>
    <row r="113" s="88" customFormat="1" ht="14.4" customHeight="1" x14ac:dyDescent="0.3"/>
    <row r="114" s="88" customFormat="1" ht="14.4" customHeight="1" x14ac:dyDescent="0.3"/>
    <row r="115" s="88" customFormat="1" ht="14.4" customHeight="1" x14ac:dyDescent="0.3"/>
    <row r="116" s="88" customFormat="1" ht="14.4" customHeight="1" x14ac:dyDescent="0.3"/>
    <row r="117" s="88" customFormat="1" ht="14.4" customHeight="1" x14ac:dyDescent="0.3"/>
    <row r="118" s="88" customFormat="1" ht="14.4" customHeight="1" x14ac:dyDescent="0.3"/>
    <row r="119" s="88" customFormat="1" ht="14.4" customHeight="1" x14ac:dyDescent="0.3"/>
    <row r="120" s="88" customFormat="1" ht="14.4" customHeight="1" x14ac:dyDescent="0.3"/>
    <row r="121" s="88" customFormat="1" ht="14.4" customHeight="1" x14ac:dyDescent="0.3"/>
    <row r="122" s="88" customFormat="1" ht="14.4" customHeight="1" x14ac:dyDescent="0.3"/>
    <row r="123" s="88" customFormat="1" ht="14.4" customHeight="1" x14ac:dyDescent="0.3"/>
    <row r="124" s="88" customFormat="1" ht="14.4" customHeight="1" x14ac:dyDescent="0.3"/>
    <row r="125" s="88" customFormat="1" ht="14.4" customHeight="1" x14ac:dyDescent="0.3"/>
    <row r="126" s="88" customFormat="1" ht="14.4" customHeight="1" x14ac:dyDescent="0.3"/>
    <row r="127" s="88" customFormat="1" ht="14.4" customHeight="1" x14ac:dyDescent="0.3"/>
    <row r="128" s="88" customFormat="1" ht="14.4" customHeight="1" x14ac:dyDescent="0.3"/>
    <row r="129" s="88" customFormat="1" ht="14.4" customHeight="1" x14ac:dyDescent="0.3"/>
    <row r="130" s="88" customFormat="1" ht="14.4" customHeight="1" x14ac:dyDescent="0.3"/>
    <row r="131" s="88" customFormat="1" ht="14.4" customHeight="1" x14ac:dyDescent="0.3"/>
    <row r="132" s="88" customFormat="1" ht="14.4" customHeight="1" x14ac:dyDescent="0.3"/>
    <row r="133" s="88" customFormat="1" ht="14.4" customHeight="1" x14ac:dyDescent="0.3"/>
    <row r="134" s="88" customFormat="1" ht="14.4" customHeight="1" x14ac:dyDescent="0.3"/>
    <row r="135" s="88" customFormat="1" ht="14.4" customHeight="1" x14ac:dyDescent="0.3"/>
    <row r="136" s="88" customFormat="1" ht="14.4" customHeight="1" x14ac:dyDescent="0.3"/>
    <row r="137" s="88" customFormat="1" ht="14.4" customHeight="1" x14ac:dyDescent="0.3"/>
    <row r="138" s="88" customFormat="1" ht="14.4" customHeight="1" x14ac:dyDescent="0.3"/>
    <row r="139" s="88" customFormat="1" ht="14.4" customHeight="1" x14ac:dyDescent="0.3"/>
    <row r="140" s="88" customFormat="1" ht="14.4" customHeight="1" x14ac:dyDescent="0.3"/>
    <row r="141" s="88" customFormat="1" ht="14.4" customHeight="1" x14ac:dyDescent="0.3"/>
    <row r="142" s="88" customFormat="1" ht="14.4" customHeight="1" x14ac:dyDescent="0.3"/>
    <row r="143" s="88" customFormat="1" ht="14.4" customHeight="1" x14ac:dyDescent="0.3"/>
    <row r="144" s="88" customFormat="1" ht="14.4" customHeight="1" x14ac:dyDescent="0.3"/>
    <row r="145" s="88" customFormat="1" ht="14.4" customHeight="1" x14ac:dyDescent="0.3"/>
    <row r="146" s="88" customFormat="1" ht="14.4" customHeight="1" x14ac:dyDescent="0.3"/>
    <row r="147" s="88" customFormat="1" ht="14.4" customHeight="1" x14ac:dyDescent="0.3"/>
    <row r="148" s="88" customFormat="1" ht="14.4" customHeight="1" x14ac:dyDescent="0.3"/>
    <row r="149" s="88" customFormat="1" ht="14.4" customHeight="1" x14ac:dyDescent="0.3"/>
    <row r="150" s="88" customFormat="1" ht="14.4" customHeight="1" x14ac:dyDescent="0.3"/>
    <row r="151" s="88" customFormat="1" ht="14.4" customHeight="1" x14ac:dyDescent="0.3"/>
    <row r="152" s="88" customFormat="1" ht="14.4" customHeight="1" x14ac:dyDescent="0.3"/>
    <row r="153" s="88" customFormat="1" ht="14.4" customHeight="1" x14ac:dyDescent="0.3"/>
    <row r="154" s="88" customFormat="1" ht="14.4" customHeight="1" x14ac:dyDescent="0.3"/>
    <row r="155" s="88" customFormat="1" ht="14.4" customHeight="1" x14ac:dyDescent="0.3"/>
    <row r="156" s="88" customFormat="1" ht="14.4" customHeight="1" x14ac:dyDescent="0.3"/>
    <row r="157" s="88" customFormat="1" ht="14.4" customHeight="1" x14ac:dyDescent="0.3"/>
    <row r="158" s="88" customFormat="1" ht="14.4" customHeight="1" x14ac:dyDescent="0.3"/>
    <row r="159" s="88" customFormat="1" ht="14.4" customHeight="1" x14ac:dyDescent="0.3"/>
    <row r="160" s="88" customFormat="1" ht="14.4" customHeight="1" x14ac:dyDescent="0.3"/>
    <row r="161" s="88" customFormat="1" ht="14.4" customHeight="1" x14ac:dyDescent="0.3"/>
    <row r="162" s="88" customFormat="1" ht="14.4" customHeight="1" x14ac:dyDescent="0.3"/>
    <row r="163" s="88" customFormat="1" ht="14.4" customHeight="1" x14ac:dyDescent="0.3"/>
    <row r="164" s="88" customFormat="1" ht="14.4" customHeight="1" x14ac:dyDescent="0.3"/>
    <row r="165" s="88" customFormat="1" ht="14.4" customHeight="1" x14ac:dyDescent="0.3"/>
    <row r="166" s="88" customFormat="1" ht="14.4" customHeight="1" x14ac:dyDescent="0.3"/>
    <row r="167" s="88" customFormat="1" ht="14.4" customHeight="1" x14ac:dyDescent="0.3"/>
    <row r="168" s="88" customFormat="1" ht="14.4" customHeight="1" x14ac:dyDescent="0.3"/>
    <row r="169" s="88" customFormat="1" ht="14.4" customHeight="1" x14ac:dyDescent="0.3"/>
    <row r="170" s="88" customFormat="1" ht="14.4" customHeight="1" x14ac:dyDescent="0.3"/>
    <row r="171" s="88" customFormat="1" ht="14.4" customHeight="1" x14ac:dyDescent="0.3"/>
    <row r="172" s="88" customFormat="1" ht="14.4" customHeight="1" x14ac:dyDescent="0.3"/>
    <row r="173" s="88" customFormat="1" ht="14.4" customHeight="1" x14ac:dyDescent="0.3"/>
    <row r="174" s="88" customFormat="1" ht="14.4" customHeight="1" x14ac:dyDescent="0.3"/>
    <row r="175" s="88" customFormat="1" ht="14.4" customHeight="1" x14ac:dyDescent="0.3"/>
    <row r="176" s="88" customFormat="1" ht="14.4" customHeight="1" x14ac:dyDescent="0.3"/>
    <row r="177" s="88" customFormat="1" ht="14.4" customHeight="1" x14ac:dyDescent="0.3"/>
    <row r="178" s="88" customFormat="1" ht="14.4" customHeight="1" x14ac:dyDescent="0.3"/>
    <row r="179" s="88" customFormat="1" ht="14.4" customHeight="1" x14ac:dyDescent="0.3"/>
    <row r="180" s="88" customFormat="1" ht="14.4" customHeight="1" x14ac:dyDescent="0.3"/>
    <row r="181" s="88" customFormat="1" ht="14.4" customHeight="1" x14ac:dyDescent="0.3"/>
    <row r="182" s="88" customFormat="1" ht="14.4" customHeight="1" x14ac:dyDescent="0.3"/>
    <row r="183" s="88" customFormat="1" ht="14.4" customHeight="1" x14ac:dyDescent="0.3"/>
    <row r="184" s="88" customFormat="1" ht="14.4" customHeight="1" x14ac:dyDescent="0.3"/>
    <row r="185" s="88" customFormat="1" ht="14.4" customHeight="1" x14ac:dyDescent="0.3"/>
    <row r="186" s="88" customFormat="1" ht="14.4" customHeight="1" x14ac:dyDescent="0.3"/>
    <row r="187" s="88" customFormat="1" ht="14.4" customHeight="1" x14ac:dyDescent="0.3"/>
    <row r="188" s="88" customFormat="1" ht="14.4" customHeight="1" x14ac:dyDescent="0.3"/>
    <row r="189" s="88" customFormat="1" ht="14.4" customHeight="1" x14ac:dyDescent="0.3"/>
    <row r="190" s="88" customFormat="1" ht="14.4" customHeight="1" x14ac:dyDescent="0.3"/>
    <row r="191" s="88" customFormat="1" ht="14.4" customHeight="1" x14ac:dyDescent="0.3"/>
    <row r="192" s="88" customFormat="1" ht="14.4" customHeight="1" x14ac:dyDescent="0.3"/>
    <row r="193" s="88" customFormat="1" ht="14.4" customHeight="1" x14ac:dyDescent="0.3"/>
    <row r="194" s="88" customFormat="1" ht="14.4" customHeight="1" x14ac:dyDescent="0.3"/>
    <row r="195" s="88" customFormat="1" ht="14.4" customHeight="1" x14ac:dyDescent="0.3"/>
    <row r="196" s="88" customFormat="1" ht="14.4" customHeight="1" x14ac:dyDescent="0.3"/>
    <row r="197" s="88" customFormat="1" ht="14.4" customHeight="1" x14ac:dyDescent="0.3"/>
    <row r="198" s="88" customFormat="1" ht="14.4" customHeight="1" x14ac:dyDescent="0.3"/>
    <row r="199" s="88" customFormat="1" ht="14.4" customHeight="1" x14ac:dyDescent="0.3"/>
    <row r="200" s="88" customFormat="1" ht="14.4" customHeight="1" x14ac:dyDescent="0.3"/>
    <row r="201" s="88" customFormat="1" ht="14.4" customHeight="1" x14ac:dyDescent="0.3"/>
    <row r="202" s="88" customFormat="1" ht="14.4" customHeight="1" x14ac:dyDescent="0.3"/>
    <row r="203" s="88" customFormat="1" ht="14.4" customHeight="1" x14ac:dyDescent="0.3"/>
    <row r="204" s="88" customFormat="1" ht="14.4" customHeight="1" x14ac:dyDescent="0.3"/>
    <row r="205" s="88" customFormat="1" ht="14.4" customHeight="1" x14ac:dyDescent="0.3"/>
    <row r="206" s="88" customFormat="1" ht="14.4" customHeight="1" x14ac:dyDescent="0.3"/>
    <row r="207" s="88" customFormat="1" ht="14.4" customHeight="1" x14ac:dyDescent="0.3"/>
    <row r="208" s="88" customFormat="1" ht="14.4" customHeight="1" x14ac:dyDescent="0.3"/>
    <row r="209" s="88" customFormat="1" ht="14.4" customHeight="1" x14ac:dyDescent="0.3"/>
    <row r="210" s="88" customFormat="1" ht="14.4" customHeight="1" x14ac:dyDescent="0.3"/>
    <row r="211" s="88" customFormat="1" ht="14.4" customHeight="1" x14ac:dyDescent="0.3"/>
    <row r="212" s="88" customFormat="1" ht="14.4" customHeight="1" x14ac:dyDescent="0.3"/>
    <row r="213" s="88" customFormat="1" ht="14.4" customHeight="1" x14ac:dyDescent="0.3"/>
    <row r="214" s="88" customFormat="1" ht="14.4" customHeight="1" x14ac:dyDescent="0.3"/>
    <row r="215" s="88" customFormat="1" ht="14.4" customHeight="1" x14ac:dyDescent="0.3"/>
    <row r="216" s="88" customFormat="1" ht="14.4" customHeight="1" x14ac:dyDescent="0.3"/>
    <row r="217" s="88" customFormat="1" ht="14.4" customHeight="1" x14ac:dyDescent="0.3"/>
    <row r="218" s="88" customFormat="1" ht="14.4" customHeight="1" x14ac:dyDescent="0.3"/>
    <row r="219" s="88" customFormat="1" ht="14.4" customHeight="1" x14ac:dyDescent="0.3"/>
    <row r="220" s="88" customFormat="1" ht="14.4" customHeight="1" x14ac:dyDescent="0.3"/>
    <row r="221" s="88" customFormat="1" ht="14.4" customHeight="1" x14ac:dyDescent="0.3"/>
    <row r="222" s="88" customFormat="1" ht="14.4" customHeight="1" x14ac:dyDescent="0.3"/>
    <row r="223" s="88" customFormat="1" ht="14.4" customHeight="1" x14ac:dyDescent="0.3"/>
    <row r="224" s="88" customFormat="1" ht="14.4" customHeight="1" x14ac:dyDescent="0.3"/>
    <row r="225" s="88" customFormat="1" ht="14.4" customHeight="1" x14ac:dyDescent="0.3"/>
    <row r="226" s="88" customFormat="1" ht="14.4" customHeight="1" x14ac:dyDescent="0.3"/>
    <row r="227" s="88" customFormat="1" ht="14.4" customHeight="1" x14ac:dyDescent="0.3"/>
    <row r="228" s="88" customFormat="1" ht="14.4" customHeight="1" x14ac:dyDescent="0.3"/>
    <row r="229" s="88" customFormat="1" ht="14.4" customHeight="1" x14ac:dyDescent="0.3"/>
    <row r="230" s="88" customFormat="1" ht="14.4" customHeight="1" x14ac:dyDescent="0.3"/>
    <row r="231" s="88" customFormat="1" ht="14.4" customHeight="1" x14ac:dyDescent="0.3"/>
    <row r="232" s="88" customFormat="1" ht="14.4" customHeight="1" x14ac:dyDescent="0.3"/>
    <row r="233" s="88" customFormat="1" ht="14.4" customHeight="1" x14ac:dyDescent="0.3"/>
    <row r="234" s="88" customFormat="1" ht="14.4" customHeight="1" x14ac:dyDescent="0.3"/>
    <row r="235" s="88" customFormat="1" ht="14.4" customHeight="1" x14ac:dyDescent="0.3"/>
    <row r="236" s="88" customFormat="1" ht="14.4" customHeight="1" x14ac:dyDescent="0.3"/>
    <row r="237" s="88" customFormat="1" ht="14.4" customHeight="1" x14ac:dyDescent="0.3"/>
    <row r="238" s="88" customFormat="1" ht="14.4" customHeight="1" x14ac:dyDescent="0.3"/>
    <row r="239" s="88" customFormat="1" ht="14.4" customHeight="1" x14ac:dyDescent="0.3"/>
    <row r="240" s="88" customFormat="1" ht="14.4" customHeight="1" x14ac:dyDescent="0.3"/>
    <row r="241" s="88" customFormat="1" ht="14.4" customHeight="1" x14ac:dyDescent="0.3"/>
    <row r="242" s="88" customFormat="1" ht="14.4" customHeight="1" x14ac:dyDescent="0.3"/>
    <row r="243" s="88" customFormat="1" ht="14.4" customHeight="1" x14ac:dyDescent="0.3"/>
    <row r="244" s="88" customFormat="1" ht="14.4" customHeight="1" x14ac:dyDescent="0.3"/>
    <row r="245" s="88" customFormat="1" ht="14.4" customHeight="1" x14ac:dyDescent="0.3"/>
    <row r="246" s="88" customFormat="1" ht="14.4" customHeight="1" x14ac:dyDescent="0.3"/>
    <row r="247" s="88" customFormat="1" ht="14.4" customHeight="1" x14ac:dyDescent="0.3"/>
    <row r="248" s="88" customFormat="1" ht="14.4" customHeight="1" x14ac:dyDescent="0.3"/>
    <row r="249" s="88" customFormat="1" ht="14.4" customHeight="1" x14ac:dyDescent="0.3"/>
    <row r="250" s="88" customFormat="1" ht="14.4" customHeight="1" x14ac:dyDescent="0.3"/>
    <row r="251" s="88" customFormat="1" ht="14.4" customHeight="1" x14ac:dyDescent="0.3"/>
    <row r="252" s="88" customFormat="1" ht="14.4" customHeight="1" x14ac:dyDescent="0.3"/>
    <row r="253" s="88" customFormat="1" ht="14.4" customHeight="1" x14ac:dyDescent="0.3"/>
    <row r="254" s="88" customFormat="1" ht="14.4" customHeight="1" x14ac:dyDescent="0.3"/>
    <row r="255" s="88" customFormat="1" ht="14.4" customHeight="1" x14ac:dyDescent="0.3"/>
    <row r="256" s="88" customFormat="1" ht="14.4" customHeight="1" x14ac:dyDescent="0.3"/>
    <row r="257" s="88" customFormat="1" ht="14.4" customHeight="1" x14ac:dyDescent="0.3"/>
    <row r="258" s="88" customFormat="1" ht="14.4" customHeight="1" x14ac:dyDescent="0.3"/>
    <row r="259" s="88" customFormat="1" ht="14.4" customHeight="1" x14ac:dyDescent="0.3"/>
    <row r="260" s="88" customFormat="1" ht="14.4" customHeight="1" x14ac:dyDescent="0.3"/>
    <row r="261" s="88" customFormat="1" ht="14.4" customHeight="1" x14ac:dyDescent="0.3"/>
    <row r="262" s="88" customFormat="1" ht="14.4" customHeight="1" x14ac:dyDescent="0.3"/>
    <row r="263" s="88" customFormat="1" ht="14.4" customHeight="1" x14ac:dyDescent="0.3"/>
    <row r="264" s="88" customFormat="1" ht="14.4" customHeight="1" x14ac:dyDescent="0.3"/>
    <row r="265" s="88" customFormat="1" ht="14.4" customHeight="1" x14ac:dyDescent="0.3"/>
    <row r="266" s="88" customFormat="1" ht="14.4" customHeight="1" x14ac:dyDescent="0.3"/>
    <row r="267" s="88" customFormat="1" ht="14.4" customHeight="1" x14ac:dyDescent="0.3"/>
    <row r="268" s="88" customFormat="1" ht="14.4" customHeight="1" x14ac:dyDescent="0.3"/>
    <row r="269" s="88" customFormat="1" ht="14.4" customHeight="1" x14ac:dyDescent="0.3"/>
    <row r="270" s="88" customFormat="1" ht="14.4" customHeight="1" x14ac:dyDescent="0.3"/>
    <row r="271" s="88" customFormat="1" ht="14.4" customHeight="1" x14ac:dyDescent="0.3"/>
    <row r="272" s="88" customFormat="1" ht="14.4" customHeight="1" x14ac:dyDescent="0.3"/>
    <row r="273" s="88" customFormat="1" ht="14.4" customHeight="1" x14ac:dyDescent="0.3"/>
    <row r="274" s="88" customFormat="1" ht="14.4" customHeight="1" x14ac:dyDescent="0.3"/>
    <row r="275" s="88" customFormat="1" ht="14.4" customHeight="1" x14ac:dyDescent="0.3"/>
    <row r="276" s="88" customFormat="1" ht="14.4" customHeight="1" x14ac:dyDescent="0.3"/>
    <row r="277" s="88" customFormat="1" ht="14.4" customHeight="1" x14ac:dyDescent="0.3"/>
    <row r="278" s="88" customFormat="1" ht="14.4" customHeight="1" x14ac:dyDescent="0.3"/>
    <row r="279" s="88" customFormat="1" ht="14.4" customHeight="1" x14ac:dyDescent="0.3"/>
    <row r="280" s="88" customFormat="1" ht="14.4" customHeight="1" x14ac:dyDescent="0.3"/>
    <row r="281" s="88" customFormat="1" ht="14.4" customHeight="1" x14ac:dyDescent="0.3"/>
    <row r="282" s="88" customFormat="1" ht="14.4" customHeight="1" x14ac:dyDescent="0.3"/>
    <row r="283" s="88" customFormat="1" ht="14.4" customHeight="1" x14ac:dyDescent="0.3"/>
    <row r="284" s="88" customFormat="1" ht="14.4" customHeight="1" x14ac:dyDescent="0.3"/>
    <row r="285" s="88" customFormat="1" ht="14.4" customHeight="1" x14ac:dyDescent="0.3"/>
    <row r="286" s="88" customFormat="1" ht="14.4" customHeight="1" x14ac:dyDescent="0.3"/>
    <row r="287" s="88" customFormat="1" ht="14.4" customHeight="1" x14ac:dyDescent="0.3"/>
    <row r="288" s="88" customFormat="1" ht="14.4" customHeight="1" x14ac:dyDescent="0.3"/>
    <row r="289" s="88" customFormat="1" ht="14.4" customHeight="1" x14ac:dyDescent="0.3"/>
    <row r="290" s="88" customFormat="1" ht="14.4" customHeight="1" x14ac:dyDescent="0.3"/>
    <row r="291" s="88" customFormat="1" ht="14.4" customHeight="1" x14ac:dyDescent="0.3"/>
    <row r="292" s="88" customFormat="1" ht="14.4" customHeight="1" x14ac:dyDescent="0.3"/>
    <row r="293" s="88" customFormat="1" ht="14.4" customHeight="1" x14ac:dyDescent="0.3"/>
    <row r="294" s="88" customFormat="1" ht="14.4" customHeight="1" x14ac:dyDescent="0.3"/>
    <row r="295" s="88" customFormat="1" ht="14.4" customHeight="1" x14ac:dyDescent="0.3"/>
    <row r="296" s="88" customFormat="1" ht="14.4" customHeight="1" x14ac:dyDescent="0.3"/>
    <row r="297" s="88" customFormat="1" ht="14.4" customHeight="1" x14ac:dyDescent="0.3"/>
    <row r="298" s="88" customFormat="1" ht="14.4" customHeight="1" x14ac:dyDescent="0.3"/>
    <row r="299" s="88" customFormat="1" ht="14.4" customHeight="1" x14ac:dyDescent="0.3"/>
    <row r="300" s="88" customFormat="1" ht="14.4" customHeight="1" x14ac:dyDescent="0.3"/>
    <row r="301" s="88" customFormat="1" ht="14.4" customHeight="1" x14ac:dyDescent="0.3"/>
    <row r="302" s="88" customFormat="1" ht="14.4" customHeight="1" x14ac:dyDescent="0.3"/>
    <row r="303" s="88" customFormat="1" ht="14.4" customHeight="1" x14ac:dyDescent="0.3"/>
    <row r="304" s="88" customFormat="1" ht="14.4" customHeight="1" x14ac:dyDescent="0.3"/>
    <row r="305" s="88" customFormat="1" ht="14.4" customHeight="1" x14ac:dyDescent="0.3"/>
    <row r="306" s="88" customFormat="1" ht="14.4" customHeight="1" x14ac:dyDescent="0.3"/>
    <row r="307" s="88" customFormat="1" ht="14.4" customHeight="1" x14ac:dyDescent="0.3"/>
    <row r="308" s="88" customFormat="1" ht="14.4" customHeight="1" x14ac:dyDescent="0.3"/>
    <row r="309" s="88" customFormat="1" ht="14.4" customHeight="1" x14ac:dyDescent="0.3"/>
    <row r="310" s="88" customFormat="1" ht="14.4" customHeight="1" x14ac:dyDescent="0.3"/>
    <row r="311" s="88" customFormat="1" ht="14.4" customHeight="1" x14ac:dyDescent="0.3"/>
    <row r="312" s="88" customFormat="1" ht="14.4" customHeight="1" x14ac:dyDescent="0.3"/>
    <row r="313" s="88" customFormat="1" ht="14.4" customHeight="1" x14ac:dyDescent="0.3"/>
    <row r="314" s="88" customFormat="1" ht="14.4" customHeight="1" x14ac:dyDescent="0.3"/>
    <row r="315" s="88" customFormat="1" ht="14.4" customHeight="1" x14ac:dyDescent="0.3"/>
    <row r="316" s="88" customFormat="1" ht="14.4" customHeight="1" x14ac:dyDescent="0.3"/>
    <row r="317" s="88" customFormat="1" ht="14.4" customHeight="1" x14ac:dyDescent="0.3"/>
    <row r="318" s="88" customFormat="1" ht="14.4" customHeight="1" x14ac:dyDescent="0.3"/>
    <row r="319" s="88" customFormat="1" ht="14.4" customHeight="1" x14ac:dyDescent="0.3"/>
    <row r="320" s="88" customFormat="1" ht="14.4" customHeight="1" x14ac:dyDescent="0.3"/>
    <row r="321" s="88" customFormat="1" ht="14.4" customHeight="1" x14ac:dyDescent="0.3"/>
    <row r="322" s="88" customFormat="1" ht="14.4" customHeight="1" x14ac:dyDescent="0.3"/>
    <row r="323" s="88" customFormat="1" ht="14.4" customHeight="1" x14ac:dyDescent="0.3"/>
    <row r="324" s="88" customFormat="1" ht="14.4" customHeight="1" x14ac:dyDescent="0.3"/>
    <row r="325" s="88" customFormat="1" ht="14.4" customHeight="1" x14ac:dyDescent="0.3"/>
    <row r="326" s="88" customFormat="1" ht="14.4" customHeight="1" x14ac:dyDescent="0.3"/>
    <row r="327" s="88" customFormat="1" ht="14.4" customHeight="1" x14ac:dyDescent="0.3"/>
    <row r="328" s="88" customFormat="1" ht="14.4" customHeight="1" x14ac:dyDescent="0.3"/>
    <row r="329" s="88" customFormat="1" ht="14.4" customHeight="1" x14ac:dyDescent="0.3"/>
    <row r="330" s="88" customFormat="1" ht="14.4" customHeight="1" x14ac:dyDescent="0.3"/>
    <row r="331" s="88" customFormat="1" ht="14.4" customHeight="1" x14ac:dyDescent="0.3"/>
    <row r="332" s="88" customFormat="1" ht="14.4" customHeight="1" x14ac:dyDescent="0.3"/>
    <row r="333" s="88" customFormat="1" ht="14.4" customHeight="1" x14ac:dyDescent="0.3"/>
    <row r="334" s="88" customFormat="1" ht="14.4" customHeight="1" x14ac:dyDescent="0.3"/>
    <row r="335" s="88" customFormat="1" ht="14.4" customHeight="1" x14ac:dyDescent="0.3"/>
    <row r="336" s="88" customFormat="1" ht="14.4" customHeight="1" x14ac:dyDescent="0.3"/>
    <row r="337" s="88" customFormat="1" ht="14.4" customHeight="1" x14ac:dyDescent="0.3"/>
    <row r="338" s="88" customFormat="1" ht="14.4" customHeight="1" x14ac:dyDescent="0.3"/>
    <row r="339" s="88" customFormat="1" ht="14.4" customHeight="1" x14ac:dyDescent="0.3"/>
    <row r="340" s="88" customFormat="1" ht="14.4" customHeight="1" x14ac:dyDescent="0.3"/>
    <row r="341" s="88" customFormat="1" ht="14.4" customHeight="1" x14ac:dyDescent="0.3"/>
    <row r="342" s="88" customFormat="1" ht="14.4" customHeight="1" x14ac:dyDescent="0.3"/>
    <row r="343" s="88" customFormat="1" ht="14.4" customHeight="1" x14ac:dyDescent="0.3"/>
    <row r="344" s="88" customFormat="1" ht="14.4" customHeight="1" x14ac:dyDescent="0.3"/>
    <row r="345" s="88" customFormat="1" ht="14.4" customHeight="1" x14ac:dyDescent="0.3"/>
    <row r="346" s="88" customFormat="1" ht="14.4" customHeight="1" x14ac:dyDescent="0.3"/>
    <row r="347" s="88" customFormat="1" ht="14.4" customHeight="1" x14ac:dyDescent="0.3"/>
    <row r="348" s="88" customFormat="1" ht="14.4" customHeight="1" x14ac:dyDescent="0.3"/>
    <row r="349" s="88" customFormat="1" ht="14.4" customHeight="1" x14ac:dyDescent="0.3"/>
    <row r="350" s="88" customFormat="1" ht="14.4" customHeight="1" x14ac:dyDescent="0.3"/>
    <row r="351" s="88" customFormat="1" ht="14.4" customHeight="1" x14ac:dyDescent="0.3"/>
    <row r="352" s="88" customFormat="1" ht="14.4" customHeight="1" x14ac:dyDescent="0.3"/>
    <row r="353" s="88" customFormat="1" ht="14.4" customHeight="1" x14ac:dyDescent="0.3"/>
    <row r="354" s="88" customFormat="1" ht="14.4" customHeight="1" x14ac:dyDescent="0.3"/>
    <row r="355" s="88" customFormat="1" ht="14.4" customHeight="1" x14ac:dyDescent="0.3"/>
    <row r="356" s="88" customFormat="1" ht="14.4" customHeight="1" x14ac:dyDescent="0.3"/>
    <row r="357" s="88" customFormat="1" ht="14.4" customHeight="1" x14ac:dyDescent="0.3"/>
    <row r="358" s="88" customFormat="1" ht="14.4" customHeight="1" x14ac:dyDescent="0.3"/>
    <row r="359" s="88" customFormat="1" ht="14.4" customHeight="1" x14ac:dyDescent="0.3"/>
    <row r="360" s="88" customFormat="1" ht="14.4" customHeight="1" x14ac:dyDescent="0.3"/>
    <row r="361" s="88" customFormat="1" ht="14.4" customHeight="1" x14ac:dyDescent="0.3"/>
    <row r="362" s="88" customFormat="1" ht="14.4" customHeight="1" x14ac:dyDescent="0.3"/>
    <row r="363" s="88" customFormat="1" ht="14.4" customHeight="1" x14ac:dyDescent="0.3"/>
    <row r="364" s="88" customFormat="1" ht="14.4" customHeight="1" x14ac:dyDescent="0.3"/>
    <row r="365" s="88" customFormat="1" ht="14.4" customHeight="1" x14ac:dyDescent="0.3"/>
    <row r="366" s="88" customFormat="1" ht="14.4" customHeight="1" x14ac:dyDescent="0.3"/>
    <row r="367" s="88" customFormat="1" ht="14.4" customHeight="1" x14ac:dyDescent="0.3"/>
    <row r="368" s="88" customFormat="1" ht="14.4" customHeight="1" x14ac:dyDescent="0.3"/>
    <row r="369" s="88" customFormat="1" ht="14.4" customHeight="1" x14ac:dyDescent="0.3"/>
    <row r="370" s="88" customFormat="1" ht="14.4" customHeight="1" x14ac:dyDescent="0.3"/>
    <row r="371" s="88" customFormat="1" ht="14.4" customHeight="1" x14ac:dyDescent="0.3"/>
    <row r="372" s="88" customFormat="1" ht="14.4" customHeight="1" x14ac:dyDescent="0.3"/>
    <row r="373" s="88" customFormat="1" ht="14.4" customHeight="1" x14ac:dyDescent="0.3"/>
    <row r="374" s="88" customFormat="1" ht="14.4" customHeight="1" x14ac:dyDescent="0.3"/>
    <row r="375" s="88" customFormat="1" ht="14.4" customHeight="1" x14ac:dyDescent="0.3"/>
    <row r="376" s="88" customFormat="1" ht="14.4" customHeight="1" x14ac:dyDescent="0.3"/>
    <row r="377" s="88" customFormat="1" ht="14.4" customHeight="1" x14ac:dyDescent="0.3"/>
    <row r="378" s="88" customFormat="1" ht="14.4" customHeight="1" x14ac:dyDescent="0.3"/>
    <row r="379" s="88" customFormat="1" ht="14.4" customHeight="1" x14ac:dyDescent="0.3"/>
    <row r="380" s="88" customFormat="1" ht="14.4" customHeight="1" x14ac:dyDescent="0.3"/>
    <row r="381" s="88" customFormat="1" ht="14.4" customHeight="1" x14ac:dyDescent="0.3"/>
    <row r="382" s="88" customFormat="1" ht="14.4" customHeight="1" x14ac:dyDescent="0.3"/>
    <row r="383" s="88" customFormat="1" ht="14.4" customHeight="1" x14ac:dyDescent="0.3"/>
    <row r="384" s="88" customFormat="1" ht="14.4" customHeight="1" x14ac:dyDescent="0.3"/>
    <row r="385" s="88" customFormat="1" ht="14.4" customHeight="1" x14ac:dyDescent="0.3"/>
    <row r="386" s="88" customFormat="1" ht="14.4" customHeight="1" x14ac:dyDescent="0.3"/>
    <row r="387" s="88" customFormat="1" ht="14.4" customHeight="1" x14ac:dyDescent="0.3"/>
    <row r="388" s="88" customFormat="1" ht="14.4" customHeight="1" x14ac:dyDescent="0.3"/>
    <row r="389" s="88" customFormat="1" ht="14.4" customHeight="1" x14ac:dyDescent="0.3"/>
    <row r="390" s="88" customFormat="1" ht="14.4" customHeight="1" x14ac:dyDescent="0.3"/>
    <row r="391" s="88" customFormat="1" ht="14.4" customHeight="1" x14ac:dyDescent="0.3"/>
    <row r="392" s="88" customFormat="1" ht="14.4" customHeight="1" x14ac:dyDescent="0.3"/>
    <row r="393" s="88" customFormat="1" ht="14.4" customHeight="1" x14ac:dyDescent="0.3"/>
    <row r="394" s="88" customFormat="1" ht="14.4" customHeight="1" x14ac:dyDescent="0.3"/>
    <row r="395" s="88" customFormat="1" ht="14.4" customHeight="1" x14ac:dyDescent="0.3"/>
    <row r="396" s="88" customFormat="1" ht="14.4" customHeight="1" x14ac:dyDescent="0.3"/>
    <row r="397" s="88" customFormat="1" ht="14.4" customHeight="1" x14ac:dyDescent="0.3"/>
    <row r="398" s="88" customFormat="1" ht="14.4" customHeight="1" x14ac:dyDescent="0.3"/>
    <row r="399" s="88" customFormat="1" ht="14.4" customHeight="1" x14ac:dyDescent="0.3"/>
    <row r="400" s="88" customFormat="1" ht="14.4" customHeight="1" x14ac:dyDescent="0.3"/>
    <row r="401" s="88" customFormat="1" ht="14.4" customHeight="1" x14ac:dyDescent="0.3"/>
    <row r="402" s="88" customFormat="1" ht="14.4" customHeight="1" x14ac:dyDescent="0.3"/>
    <row r="403" s="88" customFormat="1" ht="14.4" customHeight="1" x14ac:dyDescent="0.3"/>
    <row r="404" s="88" customFormat="1" ht="14.4" customHeight="1" x14ac:dyDescent="0.3"/>
    <row r="405" s="88" customFormat="1" ht="14.4" customHeight="1" x14ac:dyDescent="0.3"/>
    <row r="406" s="88" customFormat="1" ht="14.4" customHeight="1" x14ac:dyDescent="0.3"/>
    <row r="407" s="88" customFormat="1" ht="14.4" customHeight="1" x14ac:dyDescent="0.3"/>
    <row r="408" s="88" customFormat="1" ht="14.4" customHeight="1" x14ac:dyDescent="0.3"/>
    <row r="409" s="88" customFormat="1" ht="14.4" customHeight="1" x14ac:dyDescent="0.3"/>
    <row r="410" s="88" customFormat="1" ht="14.4" customHeight="1" x14ac:dyDescent="0.3"/>
    <row r="411" s="88" customFormat="1" ht="14.4" customHeight="1" x14ac:dyDescent="0.3"/>
    <row r="412" s="88" customFormat="1" ht="14.4" customHeight="1" x14ac:dyDescent="0.3"/>
    <row r="413" s="88" customFormat="1" ht="14.4" customHeight="1" x14ac:dyDescent="0.3"/>
    <row r="414" s="88" customFormat="1" ht="14.4" customHeight="1" x14ac:dyDescent="0.3"/>
    <row r="415" s="88" customFormat="1" ht="14.4" customHeight="1" x14ac:dyDescent="0.3"/>
    <row r="416" s="88" customFormat="1" ht="14.4" customHeight="1" x14ac:dyDescent="0.3"/>
    <row r="417" s="88" customFormat="1" ht="14.4" customHeight="1" x14ac:dyDescent="0.3"/>
    <row r="418" s="88" customFormat="1" ht="14.4" customHeight="1" x14ac:dyDescent="0.3"/>
    <row r="419" s="88" customFormat="1" ht="14.4" customHeight="1" x14ac:dyDescent="0.3"/>
    <row r="420" s="88" customFormat="1" ht="14.4" customHeight="1" x14ac:dyDescent="0.3"/>
    <row r="421" s="88" customFormat="1" ht="14.4" customHeight="1" x14ac:dyDescent="0.3"/>
    <row r="422" s="88" customFormat="1" ht="14.4" customHeight="1" x14ac:dyDescent="0.3"/>
    <row r="423" s="88" customFormat="1" ht="14.4" customHeight="1" x14ac:dyDescent="0.3"/>
    <row r="424" s="88" customFormat="1" ht="14.4" customHeight="1" x14ac:dyDescent="0.3"/>
    <row r="425" s="88" customFormat="1" ht="14.4" customHeight="1" x14ac:dyDescent="0.3"/>
    <row r="426" s="88" customFormat="1" ht="14.4" customHeight="1" x14ac:dyDescent="0.3"/>
    <row r="427" s="88" customFormat="1" ht="14.4" customHeight="1" x14ac:dyDescent="0.3"/>
    <row r="428" s="88" customFormat="1" ht="14.4" customHeight="1" x14ac:dyDescent="0.3"/>
    <row r="429" s="88" customFormat="1" ht="14.4" customHeight="1" x14ac:dyDescent="0.3"/>
    <row r="430" s="88" customFormat="1" ht="14.4" customHeight="1" x14ac:dyDescent="0.3"/>
    <row r="431" s="88" customFormat="1" ht="14.4" customHeight="1" x14ac:dyDescent="0.3"/>
    <row r="432" s="88" customFormat="1" ht="14.4" customHeight="1" x14ac:dyDescent="0.3"/>
    <row r="433" s="88" customFormat="1" ht="14.4" customHeight="1" x14ac:dyDescent="0.3"/>
    <row r="434" s="88" customFormat="1" ht="14.4" customHeight="1" x14ac:dyDescent="0.3"/>
    <row r="435" s="88" customFormat="1" ht="14.4" customHeight="1" x14ac:dyDescent="0.3"/>
    <row r="436" s="88" customFormat="1" ht="14.4" customHeight="1" x14ac:dyDescent="0.3"/>
    <row r="437" s="88" customFormat="1" ht="14.4" customHeight="1" x14ac:dyDescent="0.3"/>
    <row r="438" s="88" customFormat="1" ht="14.4" customHeight="1" x14ac:dyDescent="0.3"/>
    <row r="439" s="88" customFormat="1" ht="14.4" customHeight="1" x14ac:dyDescent="0.3"/>
    <row r="440" s="88" customFormat="1" ht="14.4" customHeight="1" x14ac:dyDescent="0.3"/>
    <row r="441" s="88" customFormat="1" ht="14.4" customHeight="1" x14ac:dyDescent="0.3"/>
    <row r="442" s="88" customFormat="1" ht="14.4" customHeight="1" x14ac:dyDescent="0.3"/>
    <row r="443" s="88" customFormat="1" ht="14.4" customHeight="1" x14ac:dyDescent="0.3"/>
    <row r="444" s="88" customFormat="1" ht="14.4" customHeight="1" x14ac:dyDescent="0.3"/>
    <row r="445" s="88" customFormat="1" ht="14.4" customHeight="1" x14ac:dyDescent="0.3"/>
    <row r="446" s="88" customFormat="1" ht="14.4" customHeight="1" x14ac:dyDescent="0.3"/>
    <row r="447" s="88" customFormat="1" ht="14.4" customHeight="1" x14ac:dyDescent="0.3"/>
    <row r="448" s="88" customFormat="1" ht="14.4" customHeight="1" x14ac:dyDescent="0.3"/>
    <row r="449" s="88" customFormat="1" ht="14.4" customHeight="1" x14ac:dyDescent="0.3"/>
    <row r="450" s="88" customFormat="1" ht="14.4" customHeight="1" x14ac:dyDescent="0.3"/>
    <row r="451" s="88" customFormat="1" ht="14.4" customHeight="1" x14ac:dyDescent="0.3"/>
    <row r="452" s="88" customFormat="1" ht="14.4" customHeight="1" x14ac:dyDescent="0.3"/>
    <row r="453" s="88" customFormat="1" ht="14.4" customHeight="1" x14ac:dyDescent="0.3"/>
    <row r="454" s="88" customFormat="1" ht="14.4" customHeight="1" x14ac:dyDescent="0.3"/>
    <row r="455" s="88" customFormat="1" ht="14.4" customHeight="1" x14ac:dyDescent="0.3"/>
    <row r="456" s="88" customFormat="1" ht="14.4" customHeight="1" x14ac:dyDescent="0.3"/>
    <row r="457" s="88" customFormat="1" ht="14.4" customHeight="1" x14ac:dyDescent="0.3"/>
    <row r="458" s="88" customFormat="1" ht="14.4" customHeight="1" x14ac:dyDescent="0.3"/>
    <row r="459" s="88" customFormat="1" ht="14.4" customHeight="1" x14ac:dyDescent="0.3"/>
    <row r="460" s="88" customFormat="1" ht="14.4" customHeight="1" x14ac:dyDescent="0.3"/>
    <row r="461" s="88" customFormat="1" ht="14.4" customHeight="1" x14ac:dyDescent="0.3"/>
    <row r="462" s="88" customFormat="1" ht="14.4" customHeight="1" x14ac:dyDescent="0.3"/>
    <row r="463" s="88" customFormat="1" ht="14.4" customHeight="1" x14ac:dyDescent="0.3"/>
    <row r="464" s="88" customFormat="1" ht="14.4" customHeight="1" x14ac:dyDescent="0.3"/>
    <row r="465" s="88" customFormat="1" ht="14.4" customHeight="1" x14ac:dyDescent="0.3"/>
    <row r="466" s="88" customFormat="1" ht="14.4" customHeight="1" x14ac:dyDescent="0.3"/>
    <row r="467" s="88" customFormat="1" ht="14.4" customHeight="1" x14ac:dyDescent="0.3"/>
    <row r="468" s="88" customFormat="1" ht="14.4" customHeight="1" x14ac:dyDescent="0.3"/>
    <row r="469" s="88" customFormat="1" ht="14.4" customHeight="1" x14ac:dyDescent="0.3"/>
    <row r="470" s="88" customFormat="1" ht="14.4" customHeight="1" x14ac:dyDescent="0.3"/>
    <row r="471" s="88" customFormat="1" ht="14.4" customHeight="1" x14ac:dyDescent="0.3"/>
    <row r="472" s="88" customFormat="1" ht="14.4" customHeight="1" x14ac:dyDescent="0.3"/>
    <row r="473" s="88" customFormat="1" ht="14.4" customHeight="1" x14ac:dyDescent="0.3"/>
    <row r="474" s="88" customFormat="1" ht="14.4" customHeight="1" x14ac:dyDescent="0.3"/>
    <row r="475" s="88" customFormat="1" ht="14.4" customHeight="1" x14ac:dyDescent="0.3"/>
    <row r="476" s="88" customFormat="1" ht="14.4" customHeight="1" x14ac:dyDescent="0.3"/>
    <row r="477" s="88" customFormat="1" ht="14.4" customHeight="1" x14ac:dyDescent="0.3"/>
    <row r="478" s="88" customFormat="1" ht="14.4" customHeight="1" x14ac:dyDescent="0.3"/>
    <row r="479" s="88" customFormat="1" ht="14.4" customHeight="1" x14ac:dyDescent="0.3"/>
    <row r="480" s="88" customFormat="1" ht="14.4" customHeight="1" x14ac:dyDescent="0.3"/>
    <row r="481" s="88" customFormat="1" ht="14.4" customHeight="1" x14ac:dyDescent="0.3"/>
    <row r="482" s="88" customFormat="1" ht="14.4" customHeight="1" x14ac:dyDescent="0.3"/>
    <row r="483" s="88" customFormat="1" ht="14.4" customHeight="1" x14ac:dyDescent="0.3"/>
    <row r="484" s="88" customFormat="1" ht="14.4" customHeight="1" x14ac:dyDescent="0.3"/>
    <row r="485" s="88" customFormat="1" ht="14.4" customHeight="1" x14ac:dyDescent="0.3"/>
    <row r="486" s="88" customFormat="1" ht="14.4" customHeight="1" x14ac:dyDescent="0.3"/>
    <row r="487" s="88" customFormat="1" ht="14.4" customHeight="1" x14ac:dyDescent="0.3"/>
    <row r="488" s="88" customFormat="1" ht="14.4" customHeight="1" x14ac:dyDescent="0.3"/>
    <row r="489" s="88" customFormat="1" ht="14.4" customHeight="1" x14ac:dyDescent="0.3"/>
    <row r="490" s="88" customFormat="1" ht="14.4" customHeight="1" x14ac:dyDescent="0.3"/>
    <row r="491" s="88" customFormat="1" ht="14.4" customHeight="1" x14ac:dyDescent="0.3"/>
    <row r="492" s="88" customFormat="1" ht="14.4" customHeight="1" x14ac:dyDescent="0.3"/>
    <row r="493" s="88" customFormat="1" ht="14.4" customHeight="1" x14ac:dyDescent="0.3"/>
    <row r="494" s="88" customFormat="1" ht="14.4" customHeight="1" x14ac:dyDescent="0.3"/>
    <row r="495" s="88" customFormat="1" ht="14.4" customHeight="1" x14ac:dyDescent="0.3"/>
    <row r="496" s="88" customFormat="1" ht="14.4" customHeight="1" x14ac:dyDescent="0.3"/>
    <row r="497" s="88" customFormat="1" ht="14.4" customHeight="1" x14ac:dyDescent="0.3"/>
    <row r="498" s="88" customFormat="1" ht="14.4" customHeight="1" x14ac:dyDescent="0.3"/>
    <row r="499" s="88" customFormat="1" ht="14.4" customHeight="1" x14ac:dyDescent="0.3"/>
    <row r="500" s="88" customFormat="1" ht="14.4" customHeight="1" x14ac:dyDescent="0.3"/>
    <row r="501" s="88" customFormat="1" ht="14.4" customHeight="1" x14ac:dyDescent="0.3"/>
    <row r="502" s="88" customFormat="1" ht="14.4" customHeight="1" x14ac:dyDescent="0.3"/>
    <row r="503" s="88" customFormat="1" ht="14.4" customHeight="1" x14ac:dyDescent="0.3"/>
    <row r="504" s="88" customFormat="1" ht="14.4" customHeight="1" x14ac:dyDescent="0.3"/>
    <row r="505" s="88" customFormat="1" ht="14.4" customHeight="1" x14ac:dyDescent="0.3"/>
    <row r="506" s="88" customFormat="1" ht="14.4" customHeight="1" x14ac:dyDescent="0.3"/>
    <row r="507" s="88" customFormat="1" ht="14.4" customHeight="1" x14ac:dyDescent="0.3"/>
    <row r="508" s="88" customFormat="1" ht="14.4" customHeight="1" x14ac:dyDescent="0.3"/>
    <row r="509" s="88" customFormat="1" ht="14.4" customHeight="1" x14ac:dyDescent="0.3"/>
    <row r="510" s="88" customFormat="1" ht="14.4" customHeight="1" x14ac:dyDescent="0.3"/>
    <row r="511" s="88" customFormat="1" ht="14.4" customHeight="1" x14ac:dyDescent="0.3"/>
    <row r="512" s="88" customFormat="1" ht="14.4" customHeight="1" x14ac:dyDescent="0.3"/>
    <row r="513" s="88" customFormat="1" ht="14.4" customHeight="1" x14ac:dyDescent="0.3"/>
    <row r="514" s="88" customFormat="1" ht="14.4" customHeight="1" x14ac:dyDescent="0.3"/>
    <row r="515" s="88" customFormat="1" ht="14.4" customHeight="1" x14ac:dyDescent="0.3"/>
    <row r="516" s="88" customFormat="1" ht="14.4" customHeight="1" x14ac:dyDescent="0.3"/>
    <row r="517" s="88" customFormat="1" ht="14.4" customHeight="1" x14ac:dyDescent="0.3"/>
    <row r="518" s="88" customFormat="1" ht="14.4" customHeight="1" x14ac:dyDescent="0.3"/>
    <row r="519" s="88" customFormat="1" ht="14.4" customHeight="1" x14ac:dyDescent="0.3"/>
    <row r="520" s="88" customFormat="1" ht="14.4" customHeight="1" x14ac:dyDescent="0.3"/>
    <row r="521" s="88" customFormat="1" ht="14.4" customHeight="1" x14ac:dyDescent="0.3"/>
    <row r="522" s="88" customFormat="1" ht="14.4" customHeight="1" x14ac:dyDescent="0.3"/>
    <row r="523" s="88" customFormat="1" ht="14.4" customHeight="1" x14ac:dyDescent="0.3"/>
    <row r="524" s="88" customFormat="1" ht="14.4" customHeight="1" x14ac:dyDescent="0.3"/>
    <row r="525" s="88" customFormat="1" ht="14.4" customHeight="1" x14ac:dyDescent="0.3"/>
    <row r="526" s="88" customFormat="1" ht="14.4" customHeight="1" x14ac:dyDescent="0.3"/>
    <row r="527" s="88" customFormat="1" ht="14.4" customHeight="1" x14ac:dyDescent="0.3"/>
    <row r="528" s="88" customFormat="1" ht="14.4" customHeight="1" x14ac:dyDescent="0.3"/>
    <row r="529" s="88" customFormat="1" ht="14.4" customHeight="1" x14ac:dyDescent="0.3"/>
    <row r="530" s="88" customFormat="1" ht="14.4" customHeight="1" x14ac:dyDescent="0.3"/>
    <row r="531" s="88" customFormat="1" ht="14.4" customHeight="1" x14ac:dyDescent="0.3"/>
    <row r="532" s="88" customFormat="1" ht="14.4" customHeight="1" x14ac:dyDescent="0.3"/>
    <row r="533" s="88" customFormat="1" ht="14.4" customHeight="1" x14ac:dyDescent="0.3"/>
    <row r="534" s="88" customFormat="1" ht="14.4" customHeight="1" x14ac:dyDescent="0.3"/>
    <row r="535" s="88" customFormat="1" ht="14.4" customHeight="1" x14ac:dyDescent="0.3"/>
    <row r="536" s="88" customFormat="1" ht="14.4" customHeight="1" x14ac:dyDescent="0.3"/>
    <row r="537" s="88" customFormat="1" ht="14.4" customHeight="1" x14ac:dyDescent="0.3"/>
    <row r="538" s="88" customFormat="1" ht="14.4" customHeight="1" x14ac:dyDescent="0.3"/>
    <row r="539" s="88" customFormat="1" ht="14.4" customHeight="1" x14ac:dyDescent="0.3"/>
    <row r="540" s="88" customFormat="1" ht="14.4" customHeight="1" x14ac:dyDescent="0.3"/>
    <row r="541" s="88" customFormat="1" ht="14.4" customHeight="1" x14ac:dyDescent="0.3"/>
    <row r="542" s="88" customFormat="1" ht="14.4" customHeight="1" x14ac:dyDescent="0.3"/>
    <row r="543" s="88" customFormat="1" ht="14.4" customHeight="1" x14ac:dyDescent="0.3"/>
    <row r="544" s="88" customFormat="1" ht="14.4" customHeight="1" x14ac:dyDescent="0.3"/>
    <row r="545" s="88" customFormat="1" ht="14.4" customHeight="1" x14ac:dyDescent="0.3"/>
    <row r="546" s="88" customFormat="1" ht="14.4" customHeight="1" x14ac:dyDescent="0.3"/>
    <row r="547" s="88" customFormat="1" ht="14.4" customHeight="1" x14ac:dyDescent="0.3"/>
    <row r="548" s="88" customFormat="1" ht="14.4" customHeight="1" x14ac:dyDescent="0.3"/>
    <row r="549" s="88" customFormat="1" ht="14.4" customHeight="1" x14ac:dyDescent="0.3"/>
    <row r="550" s="88" customFormat="1" ht="14.4" customHeight="1" x14ac:dyDescent="0.3"/>
    <row r="551" s="88" customFormat="1" ht="14.4" customHeight="1" x14ac:dyDescent="0.3"/>
    <row r="552" s="88" customFormat="1" ht="14.4" customHeight="1" x14ac:dyDescent="0.3"/>
    <row r="553" s="88" customFormat="1" ht="14.4" customHeight="1" x14ac:dyDescent="0.3"/>
    <row r="554" s="88" customFormat="1" ht="14.4" customHeight="1" x14ac:dyDescent="0.3"/>
    <row r="555" s="88" customFormat="1" ht="14.4" customHeight="1" x14ac:dyDescent="0.3"/>
    <row r="556" s="88" customFormat="1" ht="14.4" customHeight="1" x14ac:dyDescent="0.3"/>
    <row r="557" s="88" customFormat="1" ht="14.4" customHeight="1" x14ac:dyDescent="0.3"/>
    <row r="558" s="88" customFormat="1" ht="14.4" customHeight="1" x14ac:dyDescent="0.3"/>
    <row r="559" s="88" customFormat="1" ht="14.4" customHeight="1" x14ac:dyDescent="0.3"/>
    <row r="560" s="88" customFormat="1" ht="14.4" customHeight="1" x14ac:dyDescent="0.3"/>
    <row r="561" s="88" customFormat="1" ht="14.4" customHeight="1" x14ac:dyDescent="0.3"/>
    <row r="562" s="88" customFormat="1" ht="14.4" customHeight="1" x14ac:dyDescent="0.3"/>
    <row r="563" s="88" customFormat="1" ht="14.4" customHeight="1" x14ac:dyDescent="0.3"/>
    <row r="564" s="88" customFormat="1" ht="14.4" customHeight="1" x14ac:dyDescent="0.3"/>
    <row r="565" s="88" customFormat="1" ht="14.4" customHeight="1" x14ac:dyDescent="0.3"/>
    <row r="566" s="88" customFormat="1" ht="14.4" customHeight="1" x14ac:dyDescent="0.3"/>
    <row r="567" s="88" customFormat="1" ht="14.4" customHeight="1" x14ac:dyDescent="0.3"/>
    <row r="568" s="88" customFormat="1" ht="14.4" customHeight="1" x14ac:dyDescent="0.3"/>
    <row r="569" s="88" customFormat="1" ht="14.4" customHeight="1" x14ac:dyDescent="0.3"/>
    <row r="570" s="88" customFormat="1" ht="14.4" customHeight="1" x14ac:dyDescent="0.3"/>
    <row r="571" s="88" customFormat="1" ht="14.4" customHeight="1" x14ac:dyDescent="0.3"/>
    <row r="572" s="88" customFormat="1" ht="14.4" customHeight="1" x14ac:dyDescent="0.3"/>
    <row r="573" s="88" customFormat="1" ht="14.4" customHeight="1" x14ac:dyDescent="0.3"/>
    <row r="574" s="88" customFormat="1" ht="14.4" customHeight="1" x14ac:dyDescent="0.3"/>
    <row r="575" s="88" customFormat="1" ht="14.4" customHeight="1" x14ac:dyDescent="0.3"/>
    <row r="576" s="88" customFormat="1" ht="14.4" customHeight="1" x14ac:dyDescent="0.3"/>
    <row r="577" s="88" customFormat="1" ht="14.4" customHeight="1" x14ac:dyDescent="0.3"/>
    <row r="578" s="88" customFormat="1" ht="14.4" customHeight="1" x14ac:dyDescent="0.3"/>
    <row r="579" s="88" customFormat="1" ht="14.4" customHeight="1" x14ac:dyDescent="0.3"/>
    <row r="580" s="88" customFormat="1" ht="14.4" customHeight="1" x14ac:dyDescent="0.3"/>
    <row r="581" s="88" customFormat="1" ht="14.4" customHeight="1" x14ac:dyDescent="0.3"/>
    <row r="582" s="88" customFormat="1" ht="14.4" customHeight="1" x14ac:dyDescent="0.3"/>
    <row r="583" s="88" customFormat="1" ht="14.4" customHeight="1" x14ac:dyDescent="0.3"/>
    <row r="584" s="88" customFormat="1" ht="14.4" customHeight="1" x14ac:dyDescent="0.3"/>
    <row r="585" s="88" customFormat="1" ht="14.4" customHeight="1" x14ac:dyDescent="0.3"/>
    <row r="586" s="88" customFormat="1" ht="14.4" customHeight="1" x14ac:dyDescent="0.3"/>
    <row r="587" s="88" customFormat="1" ht="14.4" customHeight="1" x14ac:dyDescent="0.3"/>
    <row r="588" s="88" customFormat="1" ht="14.4" customHeight="1" x14ac:dyDescent="0.3"/>
    <row r="589" s="88" customFormat="1" ht="14.4" customHeight="1" x14ac:dyDescent="0.3"/>
    <row r="590" s="88" customFormat="1" ht="14.4" customHeight="1" x14ac:dyDescent="0.3"/>
    <row r="591" s="88" customFormat="1" ht="14.4" customHeight="1" x14ac:dyDescent="0.3"/>
    <row r="592" s="88" customFormat="1" ht="14.4" customHeight="1" x14ac:dyDescent="0.3"/>
    <row r="593" s="88" customFormat="1" ht="14.4" customHeight="1" x14ac:dyDescent="0.3"/>
    <row r="594" s="88" customFormat="1" ht="14.4" customHeight="1" x14ac:dyDescent="0.3"/>
    <row r="595" s="88" customFormat="1" ht="14.4" customHeight="1" x14ac:dyDescent="0.3"/>
    <row r="596" s="88" customFormat="1" ht="14.4" customHeight="1" x14ac:dyDescent="0.3"/>
    <row r="597" s="88" customFormat="1" ht="14.4" customHeight="1" x14ac:dyDescent="0.3"/>
    <row r="598" s="88" customFormat="1" ht="14.4" customHeight="1" x14ac:dyDescent="0.3"/>
    <row r="599" s="88" customFormat="1" ht="14.4" customHeight="1" x14ac:dyDescent="0.3"/>
    <row r="600" s="88" customFormat="1" ht="14.4" customHeight="1" x14ac:dyDescent="0.3"/>
    <row r="601" s="88" customFormat="1" ht="14.4" customHeight="1" x14ac:dyDescent="0.3"/>
    <row r="602" s="88" customFormat="1" ht="14.4" customHeight="1" x14ac:dyDescent="0.3"/>
    <row r="603" s="88" customFormat="1" ht="14.4" customHeight="1" x14ac:dyDescent="0.3"/>
    <row r="604" s="88" customFormat="1" ht="14.4" customHeight="1" x14ac:dyDescent="0.3"/>
    <row r="605" s="88" customFormat="1" ht="14.4" customHeight="1" x14ac:dyDescent="0.3"/>
    <row r="606" s="88" customFormat="1" ht="14.4" customHeight="1" x14ac:dyDescent="0.3"/>
    <row r="607" s="88" customFormat="1" ht="14.4" customHeight="1" x14ac:dyDescent="0.3"/>
    <row r="608" s="88" customFormat="1" ht="14.4" customHeight="1" x14ac:dyDescent="0.3"/>
    <row r="609" s="88" customFormat="1" ht="14.4" customHeight="1" x14ac:dyDescent="0.3"/>
    <row r="610" s="88" customFormat="1" ht="14.4" customHeight="1" x14ac:dyDescent="0.3"/>
    <row r="611" s="88" customFormat="1" ht="14.4" customHeight="1" x14ac:dyDescent="0.3"/>
    <row r="612" s="88" customFormat="1" ht="14.4" customHeight="1" x14ac:dyDescent="0.3"/>
    <row r="613" s="88" customFormat="1" ht="14.4" customHeight="1" x14ac:dyDescent="0.3"/>
    <row r="614" s="88" customFormat="1" ht="14.4" customHeight="1" x14ac:dyDescent="0.3"/>
    <row r="615" s="88" customFormat="1" ht="14.4" customHeight="1" x14ac:dyDescent="0.3"/>
    <row r="616" s="88" customFormat="1" ht="14.4" customHeight="1" x14ac:dyDescent="0.3"/>
    <row r="617" s="88" customFormat="1" ht="14.4" customHeight="1" x14ac:dyDescent="0.3"/>
    <row r="618" s="88" customFormat="1" ht="14.4" customHeight="1" x14ac:dyDescent="0.3"/>
    <row r="619" s="88" customFormat="1" ht="14.4" customHeight="1" x14ac:dyDescent="0.3"/>
    <row r="620" s="88" customFormat="1" ht="14.4" customHeight="1" x14ac:dyDescent="0.3"/>
    <row r="621" s="88" customFormat="1" ht="14.4" customHeight="1" x14ac:dyDescent="0.3"/>
    <row r="622" s="88" customFormat="1" ht="14.4" customHeight="1" x14ac:dyDescent="0.3"/>
    <row r="623" s="88" customFormat="1" ht="14.4" customHeight="1" x14ac:dyDescent="0.3"/>
    <row r="624" s="88" customFormat="1" ht="14.4" customHeight="1" x14ac:dyDescent="0.3"/>
    <row r="625" s="88" customFormat="1" ht="14.4" customHeight="1" x14ac:dyDescent="0.3"/>
    <row r="626" s="88" customFormat="1" ht="14.4" customHeight="1" x14ac:dyDescent="0.3"/>
    <row r="627" s="88" customFormat="1" ht="14.4" customHeight="1" x14ac:dyDescent="0.3"/>
    <row r="628" s="88" customFormat="1" ht="14.4" customHeight="1" x14ac:dyDescent="0.3"/>
    <row r="629" s="88" customFormat="1" ht="14.4" customHeight="1" x14ac:dyDescent="0.3"/>
    <row r="630" s="88" customFormat="1" ht="14.4" customHeight="1" x14ac:dyDescent="0.3"/>
    <row r="631" s="88" customFormat="1" ht="14.4" customHeight="1" x14ac:dyDescent="0.3"/>
    <row r="632" s="88" customFormat="1" ht="14.4" customHeight="1" x14ac:dyDescent="0.3"/>
    <row r="633" s="88" customFormat="1" ht="14.4" customHeight="1" x14ac:dyDescent="0.3"/>
    <row r="634" s="88" customFormat="1" ht="14.4" customHeight="1" x14ac:dyDescent="0.3"/>
    <row r="635" s="88" customFormat="1" ht="14.4" customHeight="1" x14ac:dyDescent="0.3"/>
    <row r="636" s="88" customFormat="1" ht="14.4" customHeight="1" x14ac:dyDescent="0.3"/>
    <row r="637" s="88" customFormat="1" ht="14.4" customHeight="1" x14ac:dyDescent="0.3"/>
    <row r="638" s="88" customFormat="1" ht="14.4" customHeight="1" x14ac:dyDescent="0.3"/>
    <row r="639" s="88" customFormat="1" ht="14.4" customHeight="1" x14ac:dyDescent="0.3"/>
    <row r="640" s="88" customFormat="1" ht="14.4" customHeight="1" x14ac:dyDescent="0.3"/>
    <row r="641" s="88" customFormat="1" ht="14.4" customHeight="1" x14ac:dyDescent="0.3"/>
    <row r="642" s="88" customFormat="1" ht="14.4" customHeight="1" x14ac:dyDescent="0.3"/>
    <row r="643" s="88" customFormat="1" ht="14.4" customHeight="1" x14ac:dyDescent="0.3"/>
    <row r="644" s="88" customFormat="1" ht="14.4" customHeight="1" x14ac:dyDescent="0.3"/>
    <row r="645" s="88" customFormat="1" ht="14.4" customHeight="1" x14ac:dyDescent="0.3"/>
    <row r="646" s="88" customFormat="1" ht="14.4" customHeight="1" x14ac:dyDescent="0.3"/>
    <row r="647" s="88" customFormat="1" ht="14.4" customHeight="1" x14ac:dyDescent="0.3"/>
    <row r="648" s="88" customFormat="1" ht="14.4" customHeight="1" x14ac:dyDescent="0.3"/>
    <row r="649" s="88" customFormat="1" ht="14.4" customHeight="1" x14ac:dyDescent="0.3"/>
    <row r="650" s="88" customFormat="1" ht="14.4" customHeight="1" x14ac:dyDescent="0.3"/>
    <row r="651" s="88" customFormat="1" ht="14.4" customHeight="1" x14ac:dyDescent="0.3"/>
    <row r="652" s="88" customFormat="1" ht="14.4" customHeight="1" x14ac:dyDescent="0.3"/>
    <row r="653" s="88" customFormat="1" ht="14.4" customHeight="1" x14ac:dyDescent="0.3"/>
    <row r="654" s="88" customFormat="1" ht="14.4" customHeight="1" x14ac:dyDescent="0.3"/>
    <row r="655" s="88" customFormat="1" ht="14.4" customHeight="1" x14ac:dyDescent="0.3"/>
    <row r="656" s="88" customFormat="1" ht="14.4" customHeight="1" x14ac:dyDescent="0.3"/>
    <row r="657" s="88" customFormat="1" ht="14.4" customHeight="1" x14ac:dyDescent="0.3"/>
    <row r="658" s="88" customFormat="1" ht="14.4" customHeight="1" x14ac:dyDescent="0.3"/>
    <row r="659" s="88" customFormat="1" ht="14.4" customHeight="1" x14ac:dyDescent="0.3"/>
    <row r="660" s="88" customFormat="1" ht="14.4" customHeight="1" x14ac:dyDescent="0.3"/>
    <row r="661" s="88" customFormat="1" ht="14.4" customHeight="1" x14ac:dyDescent="0.3"/>
    <row r="662" s="88" customFormat="1" ht="14.4" customHeight="1" x14ac:dyDescent="0.3"/>
    <row r="663" s="88" customFormat="1" ht="14.4" customHeight="1" x14ac:dyDescent="0.3"/>
    <row r="664" s="88" customFormat="1" ht="14.4" customHeight="1" x14ac:dyDescent="0.3"/>
    <row r="665" s="88" customFormat="1" ht="14.4" customHeight="1" x14ac:dyDescent="0.3"/>
    <row r="666" s="88" customFormat="1" ht="14.4" customHeight="1" x14ac:dyDescent="0.3"/>
    <row r="667" s="88" customFormat="1" ht="14.4" customHeight="1" x14ac:dyDescent="0.3"/>
    <row r="668" s="88" customFormat="1" ht="14.4" customHeight="1" x14ac:dyDescent="0.3"/>
    <row r="669" s="88" customFormat="1" ht="14.4" customHeight="1" x14ac:dyDescent="0.3"/>
    <row r="670" s="88" customFormat="1" ht="14.4" customHeight="1" x14ac:dyDescent="0.3"/>
    <row r="671" s="88" customFormat="1" ht="14.4" customHeight="1" x14ac:dyDescent="0.3"/>
    <row r="672" s="88" customFormat="1" ht="14.4" customHeight="1" x14ac:dyDescent="0.3"/>
    <row r="673" s="88" customFormat="1" ht="14.4" customHeight="1" x14ac:dyDescent="0.3"/>
    <row r="674" s="88" customFormat="1" ht="14.4" customHeight="1" x14ac:dyDescent="0.3"/>
    <row r="675" s="88" customFormat="1" ht="14.4" customHeight="1" x14ac:dyDescent="0.3"/>
    <row r="676" s="88" customFormat="1" ht="14.4" customHeight="1" x14ac:dyDescent="0.3"/>
    <row r="677" s="88" customFormat="1" ht="14.4" customHeight="1" x14ac:dyDescent="0.3"/>
    <row r="678" s="88" customFormat="1" ht="14.4" customHeight="1" x14ac:dyDescent="0.3"/>
    <row r="679" s="88" customFormat="1" ht="14.4" customHeight="1" x14ac:dyDescent="0.3"/>
    <row r="680" s="88" customFormat="1" ht="14.4" customHeight="1" x14ac:dyDescent="0.3"/>
    <row r="681" s="88" customFormat="1" ht="14.4" customHeight="1" x14ac:dyDescent="0.3"/>
    <row r="682" s="88" customFormat="1" ht="14.4" customHeight="1" x14ac:dyDescent="0.3"/>
    <row r="683" s="88" customFormat="1" ht="14.4" customHeight="1" x14ac:dyDescent="0.3"/>
    <row r="684" s="88" customFormat="1" ht="14.4" customHeight="1" x14ac:dyDescent="0.3"/>
    <row r="685" s="88" customFormat="1" ht="14.4" customHeight="1" x14ac:dyDescent="0.3"/>
    <row r="686" s="88" customFormat="1" ht="14.4" customHeight="1" x14ac:dyDescent="0.3"/>
    <row r="687" s="88" customFormat="1" ht="14.4" customHeight="1" x14ac:dyDescent="0.3"/>
    <row r="688" s="88" customFormat="1" ht="14.4" customHeight="1" x14ac:dyDescent="0.3"/>
    <row r="689" s="88" customFormat="1" ht="14.4" customHeight="1" x14ac:dyDescent="0.3"/>
    <row r="690" s="88" customFormat="1" ht="14.4" customHeight="1" x14ac:dyDescent="0.3"/>
    <row r="691" s="88" customFormat="1" ht="14.4" customHeight="1" x14ac:dyDescent="0.3"/>
    <row r="692" s="88" customFormat="1" ht="14.4" customHeight="1" x14ac:dyDescent="0.3"/>
    <row r="693" s="88" customFormat="1" ht="14.4" customHeight="1" x14ac:dyDescent="0.3"/>
    <row r="694" s="88" customFormat="1" ht="14.4" customHeight="1" x14ac:dyDescent="0.3"/>
    <row r="695" s="88" customFormat="1" ht="14.4" customHeight="1" x14ac:dyDescent="0.3"/>
    <row r="696" s="88" customFormat="1" ht="14.4" customHeight="1" x14ac:dyDescent="0.3"/>
    <row r="697" s="88" customFormat="1" ht="14.4" customHeight="1" x14ac:dyDescent="0.3"/>
    <row r="698" s="88" customFormat="1" ht="14.4" customHeight="1" x14ac:dyDescent="0.3"/>
    <row r="699" s="88" customFormat="1" ht="14.4" customHeight="1" x14ac:dyDescent="0.3"/>
    <row r="700" s="88" customFormat="1" ht="14.4" customHeight="1" x14ac:dyDescent="0.3"/>
    <row r="701" s="88" customFormat="1" ht="14.4" customHeight="1" x14ac:dyDescent="0.3"/>
    <row r="702" s="88" customFormat="1" ht="14.4" customHeight="1" x14ac:dyDescent="0.3"/>
    <row r="703" s="88" customFormat="1" ht="14.4" customHeight="1" x14ac:dyDescent="0.3"/>
    <row r="704" s="88" customFormat="1" ht="14.4" customHeight="1" x14ac:dyDescent="0.3"/>
    <row r="705" s="88" customFormat="1" ht="14.4" customHeight="1" x14ac:dyDescent="0.3"/>
    <row r="706" s="88" customFormat="1" ht="14.4" customHeight="1" x14ac:dyDescent="0.3"/>
    <row r="707" s="88" customFormat="1" ht="14.4" customHeight="1" x14ac:dyDescent="0.3"/>
    <row r="708" s="88" customFormat="1" ht="14.4" customHeight="1" x14ac:dyDescent="0.3"/>
    <row r="709" s="88" customFormat="1" ht="14.4" customHeight="1" x14ac:dyDescent="0.3"/>
    <row r="710" s="88" customFormat="1" ht="14.4" customHeight="1" x14ac:dyDescent="0.3"/>
    <row r="711" s="88" customFormat="1" ht="14.4" customHeight="1" x14ac:dyDescent="0.3"/>
    <row r="712" s="88" customFormat="1" ht="14.4" customHeight="1" x14ac:dyDescent="0.3"/>
    <row r="713" s="88" customFormat="1" ht="14.4" customHeight="1" x14ac:dyDescent="0.3"/>
    <row r="714" s="88" customFormat="1" ht="14.4" customHeight="1" x14ac:dyDescent="0.3"/>
    <row r="715" s="88" customFormat="1" ht="14.4" customHeight="1" x14ac:dyDescent="0.3"/>
    <row r="716" s="88" customFormat="1" ht="14.4" customHeight="1" x14ac:dyDescent="0.3"/>
    <row r="717" s="88" customFormat="1" ht="14.4" customHeight="1" x14ac:dyDescent="0.3"/>
    <row r="718" s="88" customFormat="1" ht="14.4" customHeight="1" x14ac:dyDescent="0.3"/>
    <row r="719" s="88" customFormat="1" ht="14.4" customHeight="1" x14ac:dyDescent="0.3"/>
    <row r="720" s="88" customFormat="1" ht="14.4" customHeight="1" x14ac:dyDescent="0.3"/>
    <row r="721" s="88" customFormat="1" ht="14.4" customHeight="1" x14ac:dyDescent="0.3"/>
    <row r="722" s="88" customFormat="1" ht="14.4" customHeight="1" x14ac:dyDescent="0.3"/>
    <row r="723" s="88" customFormat="1" ht="14.4" customHeight="1" x14ac:dyDescent="0.3"/>
    <row r="724" s="88" customFormat="1" ht="14.4" customHeight="1" x14ac:dyDescent="0.3"/>
    <row r="725" s="88" customFormat="1" ht="14.4" customHeight="1" x14ac:dyDescent="0.3"/>
    <row r="726" s="88" customFormat="1" ht="14.4" customHeight="1" x14ac:dyDescent="0.3"/>
    <row r="727" s="88" customFormat="1" ht="14.4" customHeight="1" x14ac:dyDescent="0.3"/>
    <row r="728" s="88" customFormat="1" ht="14.4" customHeight="1" x14ac:dyDescent="0.3"/>
    <row r="729" s="88" customFormat="1" ht="14.4" customHeight="1" x14ac:dyDescent="0.3"/>
    <row r="730" s="88" customFormat="1" ht="14.4" customHeight="1" x14ac:dyDescent="0.3"/>
    <row r="731" s="88" customFormat="1" ht="14.4" customHeight="1" x14ac:dyDescent="0.3"/>
    <row r="732" s="88" customFormat="1" ht="14.4" customHeight="1" x14ac:dyDescent="0.3"/>
    <row r="733" s="88" customFormat="1" ht="14.4" customHeight="1" x14ac:dyDescent="0.3"/>
    <row r="734" s="88" customFormat="1" ht="14.4" customHeight="1" x14ac:dyDescent="0.3"/>
    <row r="735" s="88" customFormat="1" ht="14.4" customHeight="1" x14ac:dyDescent="0.3"/>
    <row r="736" s="88" customFormat="1" ht="14.4" customHeight="1" x14ac:dyDescent="0.3"/>
    <row r="737" s="88" customFormat="1" ht="14.4" customHeight="1" x14ac:dyDescent="0.3"/>
    <row r="738" s="88" customFormat="1" ht="14.4" customHeight="1" x14ac:dyDescent="0.3"/>
    <row r="739" s="88" customFormat="1" ht="14.4" customHeight="1" x14ac:dyDescent="0.3"/>
    <row r="740" s="88" customFormat="1" ht="14.4" customHeight="1" x14ac:dyDescent="0.3"/>
    <row r="741" s="88" customFormat="1" ht="14.4" customHeight="1" x14ac:dyDescent="0.3"/>
    <row r="742" s="88" customFormat="1" ht="14.4" customHeight="1" x14ac:dyDescent="0.3"/>
    <row r="743" s="88" customFormat="1" ht="14.4" customHeight="1" x14ac:dyDescent="0.3"/>
    <row r="744" s="88" customFormat="1" ht="14.4" customHeight="1" x14ac:dyDescent="0.3"/>
    <row r="745" s="88" customFormat="1" ht="14.4" customHeight="1" x14ac:dyDescent="0.3"/>
    <row r="746" s="88" customFormat="1" ht="14.4" customHeight="1" x14ac:dyDescent="0.3"/>
    <row r="747" s="88" customFormat="1" ht="14.4" customHeight="1" x14ac:dyDescent="0.3"/>
    <row r="748" s="88" customFormat="1" ht="14.4" customHeight="1" x14ac:dyDescent="0.3"/>
    <row r="749" s="88" customFormat="1" ht="14.4" customHeight="1" x14ac:dyDescent="0.3"/>
    <row r="750" s="88" customFormat="1" ht="14.4" customHeight="1" x14ac:dyDescent="0.3"/>
    <row r="751" s="88" customFormat="1" ht="14.4" customHeight="1" x14ac:dyDescent="0.3"/>
    <row r="752" s="88" customFormat="1" ht="14.4" customHeight="1" x14ac:dyDescent="0.3"/>
    <row r="753" s="88" customFormat="1" ht="14.4" customHeight="1" x14ac:dyDescent="0.3"/>
    <row r="754" s="88" customFormat="1" ht="14.4" customHeight="1" x14ac:dyDescent="0.3"/>
    <row r="755" s="88" customFormat="1" ht="14.4" customHeight="1" x14ac:dyDescent="0.3"/>
    <row r="756" s="88" customFormat="1" ht="14.4" customHeight="1" x14ac:dyDescent="0.3"/>
    <row r="757" s="88" customFormat="1" ht="14.4" customHeight="1" x14ac:dyDescent="0.3"/>
    <row r="758" s="88" customFormat="1" ht="14.4" customHeight="1" x14ac:dyDescent="0.3"/>
    <row r="759" s="88" customFormat="1" ht="14.4" customHeight="1" x14ac:dyDescent="0.3"/>
    <row r="760" s="88" customFormat="1" ht="14.4" customHeight="1" x14ac:dyDescent="0.3"/>
    <row r="761" s="88" customFormat="1" ht="14.4" customHeight="1" x14ac:dyDescent="0.3"/>
    <row r="762" s="88" customFormat="1" ht="14.4" customHeight="1" x14ac:dyDescent="0.3"/>
    <row r="763" s="88" customFormat="1" ht="14.4" customHeight="1" x14ac:dyDescent="0.3"/>
    <row r="764" s="88" customFormat="1" ht="14.4" customHeight="1" x14ac:dyDescent="0.3"/>
    <row r="765" s="88" customFormat="1" ht="14.4" customHeight="1" x14ac:dyDescent="0.3"/>
    <row r="766" s="88" customFormat="1" ht="14.4" customHeight="1" x14ac:dyDescent="0.3"/>
    <row r="767" s="88" customFormat="1" ht="14.4" customHeight="1" x14ac:dyDescent="0.3"/>
    <row r="768" s="88" customFormat="1" ht="14.4" customHeight="1" x14ac:dyDescent="0.3"/>
    <row r="769" s="88" customFormat="1" ht="14.4" customHeight="1" x14ac:dyDescent="0.3"/>
    <row r="770" s="88" customFormat="1" ht="14.4" customHeight="1" x14ac:dyDescent="0.3"/>
    <row r="771" s="88" customFormat="1" ht="14.4" customHeight="1" x14ac:dyDescent="0.3"/>
    <row r="772" s="88" customFormat="1" ht="14.4" customHeight="1" x14ac:dyDescent="0.3"/>
    <row r="773" s="88" customFormat="1" ht="14.4" customHeight="1" x14ac:dyDescent="0.3"/>
    <row r="774" s="88" customFormat="1" ht="14.4" customHeight="1" x14ac:dyDescent="0.3"/>
    <row r="775" s="88" customFormat="1" ht="14.4" customHeight="1" x14ac:dyDescent="0.3"/>
    <row r="776" s="88" customFormat="1" ht="14.4" customHeight="1" x14ac:dyDescent="0.3"/>
    <row r="777" s="88" customFormat="1" ht="14.4" customHeight="1" x14ac:dyDescent="0.3"/>
    <row r="778" s="88" customFormat="1" ht="14.4" customHeight="1" x14ac:dyDescent="0.3"/>
    <row r="779" s="88" customFormat="1" ht="14.4" customHeight="1" x14ac:dyDescent="0.3"/>
    <row r="780" s="88" customFormat="1" ht="14.4" customHeight="1" x14ac:dyDescent="0.3"/>
    <row r="781" s="88" customFormat="1" ht="14.4" customHeight="1" x14ac:dyDescent="0.3"/>
    <row r="782" s="88" customFormat="1" ht="14.4" customHeight="1" x14ac:dyDescent="0.3"/>
    <row r="783" s="88" customFormat="1" ht="14.4" customHeight="1" x14ac:dyDescent="0.3"/>
    <row r="784" s="88" customFormat="1" ht="14.4" customHeight="1" x14ac:dyDescent="0.3"/>
    <row r="785" s="88" customFormat="1" ht="14.4" customHeight="1" x14ac:dyDescent="0.3"/>
    <row r="786" s="88" customFormat="1" ht="14.4" customHeight="1" x14ac:dyDescent="0.3"/>
    <row r="787" s="88" customFormat="1" ht="14.4" customHeight="1" x14ac:dyDescent="0.3"/>
    <row r="788" s="88" customFormat="1" ht="14.4" customHeight="1" x14ac:dyDescent="0.3"/>
    <row r="789" s="88" customFormat="1" ht="14.4" customHeight="1" x14ac:dyDescent="0.3"/>
    <row r="790" s="88" customFormat="1" ht="14.4" customHeight="1" x14ac:dyDescent="0.3"/>
    <row r="791" s="88" customFormat="1" ht="14.4" customHeight="1" x14ac:dyDescent="0.3"/>
    <row r="792" s="88" customFormat="1" ht="14.4" customHeight="1" x14ac:dyDescent="0.3"/>
    <row r="793" s="88" customFormat="1" ht="14.4" customHeight="1" x14ac:dyDescent="0.3"/>
    <row r="794" s="88" customFormat="1" ht="14.4" customHeight="1" x14ac:dyDescent="0.3"/>
    <row r="795" s="88" customFormat="1" ht="14.4" customHeight="1" x14ac:dyDescent="0.3"/>
    <row r="796" s="88" customFormat="1" ht="14.4" customHeight="1" x14ac:dyDescent="0.3"/>
    <row r="797" s="88" customFormat="1" ht="14.4" customHeight="1" x14ac:dyDescent="0.3"/>
    <row r="798" s="88" customFormat="1" ht="14.4" customHeight="1" x14ac:dyDescent="0.3"/>
    <row r="799" s="88" customFormat="1" ht="14.4" customHeight="1" x14ac:dyDescent="0.3"/>
    <row r="800" s="88" customFormat="1" ht="14.4" customHeight="1" x14ac:dyDescent="0.3"/>
    <row r="801" s="88" customFormat="1" ht="14.4" customHeight="1" x14ac:dyDescent="0.3"/>
    <row r="802" s="88" customFormat="1" ht="14.4" customHeight="1" x14ac:dyDescent="0.3"/>
    <row r="803" s="88" customFormat="1" ht="14.4" customHeight="1" x14ac:dyDescent="0.3"/>
    <row r="804" s="88" customFormat="1" ht="14.4" customHeight="1" x14ac:dyDescent="0.3"/>
    <row r="805" s="88" customFormat="1" ht="14.4" customHeight="1" x14ac:dyDescent="0.3"/>
    <row r="806" s="88" customFormat="1" ht="14.4" customHeight="1" x14ac:dyDescent="0.3"/>
    <row r="807" s="88" customFormat="1" ht="14.4" customHeight="1" x14ac:dyDescent="0.3"/>
    <row r="808" s="88" customFormat="1" ht="14.4" customHeight="1" x14ac:dyDescent="0.3"/>
    <row r="809" s="88" customFormat="1" ht="14.4" customHeight="1" x14ac:dyDescent="0.3"/>
    <row r="810" s="88" customFormat="1" ht="14.4" customHeight="1" x14ac:dyDescent="0.3"/>
    <row r="811" s="88" customFormat="1" ht="14.4" customHeight="1" x14ac:dyDescent="0.3"/>
    <row r="812" s="88" customFormat="1" ht="14.4" customHeight="1" x14ac:dyDescent="0.3"/>
    <row r="813" s="88" customFormat="1" ht="14.4" customHeight="1" x14ac:dyDescent="0.3"/>
    <row r="814" s="88" customFormat="1" ht="14.4" customHeight="1" x14ac:dyDescent="0.3"/>
    <row r="815" s="88" customFormat="1" ht="14.4" customHeight="1" x14ac:dyDescent="0.3"/>
    <row r="816" s="88" customFormat="1" ht="14.4" customHeight="1" x14ac:dyDescent="0.3"/>
    <row r="817" s="88" customFormat="1" ht="14.4" customHeight="1" x14ac:dyDescent="0.3"/>
    <row r="818" s="88" customFormat="1" ht="14.4" customHeight="1" x14ac:dyDescent="0.3"/>
    <row r="819" s="88" customFormat="1" ht="14.4" customHeight="1" x14ac:dyDescent="0.3"/>
    <row r="820" s="88" customFormat="1" ht="14.4" customHeight="1" x14ac:dyDescent="0.3"/>
    <row r="821" s="88" customFormat="1" ht="14.4" customHeight="1" x14ac:dyDescent="0.3"/>
    <row r="822" s="88" customFormat="1" ht="14.4" customHeight="1" x14ac:dyDescent="0.3"/>
    <row r="823" s="88" customFormat="1" ht="14.4" customHeight="1" x14ac:dyDescent="0.3"/>
    <row r="824" s="88" customFormat="1" ht="14.4" customHeight="1" x14ac:dyDescent="0.3"/>
    <row r="825" s="88" customFormat="1" ht="14.4" customHeight="1" x14ac:dyDescent="0.3"/>
    <row r="826" s="88" customFormat="1" ht="14.4" customHeight="1" x14ac:dyDescent="0.3"/>
    <row r="827" s="88" customFormat="1" ht="14.4" customHeight="1" x14ac:dyDescent="0.3"/>
    <row r="828" s="88" customFormat="1" ht="14.4" customHeight="1" x14ac:dyDescent="0.3"/>
    <row r="829" s="88" customFormat="1" ht="14.4" customHeight="1" x14ac:dyDescent="0.3"/>
    <row r="830" s="88" customFormat="1" ht="14.4" customHeight="1" x14ac:dyDescent="0.3"/>
    <row r="831" s="88" customFormat="1" ht="14.4" customHeight="1" x14ac:dyDescent="0.3"/>
    <row r="832" s="88" customFormat="1" ht="14.4" customHeight="1" x14ac:dyDescent="0.3"/>
    <row r="833" s="88" customFormat="1" ht="14.4" customHeight="1" x14ac:dyDescent="0.3"/>
    <row r="834" s="88" customFormat="1" ht="14.4" customHeight="1" x14ac:dyDescent="0.3"/>
    <row r="835" s="88" customFormat="1" ht="14.4" customHeight="1" x14ac:dyDescent="0.3"/>
    <row r="836" s="88" customFormat="1" ht="14.4" customHeight="1" x14ac:dyDescent="0.3"/>
    <row r="837" s="88" customFormat="1" ht="14.4" customHeight="1" x14ac:dyDescent="0.3"/>
    <row r="838" s="88" customFormat="1" ht="14.4" customHeight="1" x14ac:dyDescent="0.3"/>
    <row r="839" s="88" customFormat="1" ht="14.4" customHeight="1" x14ac:dyDescent="0.3"/>
    <row r="840" s="88" customFormat="1" ht="14.4" customHeight="1" x14ac:dyDescent="0.3"/>
    <row r="841" s="88" customFormat="1" ht="14.4" customHeight="1" x14ac:dyDescent="0.3"/>
    <row r="842" s="88" customFormat="1" ht="14.4" customHeight="1" x14ac:dyDescent="0.3"/>
    <row r="843" s="88" customFormat="1" ht="14.4" customHeight="1" x14ac:dyDescent="0.3"/>
    <row r="844" s="88" customFormat="1" ht="14.4" customHeight="1" x14ac:dyDescent="0.3"/>
    <row r="845" s="88" customFormat="1" ht="14.4" customHeight="1" x14ac:dyDescent="0.3"/>
    <row r="846" s="88" customFormat="1" ht="14.4" customHeight="1" x14ac:dyDescent="0.3"/>
    <row r="847" s="88" customFormat="1" ht="14.4" customHeight="1" x14ac:dyDescent="0.3"/>
    <row r="848" s="88" customFormat="1" ht="14.4" customHeight="1" x14ac:dyDescent="0.3"/>
    <row r="849" s="88" customFormat="1" ht="14.4" customHeight="1" x14ac:dyDescent="0.3"/>
    <row r="850" s="88" customFormat="1" ht="14.4" customHeight="1" x14ac:dyDescent="0.3"/>
    <row r="851" s="88" customFormat="1" ht="14.4" customHeight="1" x14ac:dyDescent="0.3"/>
    <row r="852" s="88" customFormat="1" ht="14.4" customHeight="1" x14ac:dyDescent="0.3"/>
    <row r="853" s="88" customFormat="1" ht="14.4" customHeight="1" x14ac:dyDescent="0.3"/>
    <row r="854" s="88" customFormat="1" ht="14.4" customHeight="1" x14ac:dyDescent="0.3"/>
    <row r="855" s="88" customFormat="1" ht="14.4" customHeight="1" x14ac:dyDescent="0.3"/>
    <row r="856" s="88" customFormat="1" ht="14.4" customHeight="1" x14ac:dyDescent="0.3"/>
    <row r="857" s="88" customFormat="1" ht="14.4" customHeight="1" x14ac:dyDescent="0.3"/>
    <row r="858" s="88" customFormat="1" ht="14.4" customHeight="1" x14ac:dyDescent="0.3"/>
    <row r="859" s="88" customFormat="1" ht="14.4" customHeight="1" x14ac:dyDescent="0.3"/>
    <row r="860" s="88" customFormat="1" ht="14.4" customHeight="1" x14ac:dyDescent="0.3"/>
    <row r="861" s="88" customFormat="1" ht="14.4" customHeight="1" x14ac:dyDescent="0.3"/>
    <row r="862" s="88" customFormat="1" ht="14.4" customHeight="1" x14ac:dyDescent="0.3"/>
    <row r="863" s="88" customFormat="1" ht="14.4" customHeight="1" x14ac:dyDescent="0.3"/>
    <row r="864" s="88" customFormat="1" ht="14.4" customHeight="1" x14ac:dyDescent="0.3"/>
    <row r="865" s="88" customFormat="1" ht="14.4" customHeight="1" x14ac:dyDescent="0.3"/>
    <row r="866" s="88" customFormat="1" ht="14.4" customHeight="1" x14ac:dyDescent="0.3"/>
    <row r="867" s="88" customFormat="1" ht="14.4" customHeight="1" x14ac:dyDescent="0.3"/>
    <row r="868" s="88" customFormat="1" ht="14.4" customHeight="1" x14ac:dyDescent="0.3"/>
    <row r="869" s="88" customFormat="1" ht="14.4" customHeight="1" x14ac:dyDescent="0.3"/>
    <row r="870" s="88" customFormat="1" ht="14.4" customHeight="1" x14ac:dyDescent="0.3"/>
    <row r="871" s="88" customFormat="1" ht="14.4" customHeight="1" x14ac:dyDescent="0.3"/>
    <row r="872" s="88" customFormat="1" ht="14.4" customHeight="1" x14ac:dyDescent="0.3"/>
    <row r="873" s="88" customFormat="1" ht="14.4" customHeight="1" x14ac:dyDescent="0.3"/>
    <row r="874" s="88" customFormat="1" ht="14.4" customHeight="1" x14ac:dyDescent="0.3"/>
    <row r="875" s="88" customFormat="1" ht="14.4" customHeight="1" x14ac:dyDescent="0.3"/>
    <row r="876" s="88" customFormat="1" ht="14.4" customHeight="1" x14ac:dyDescent="0.3"/>
    <row r="877" s="88" customFormat="1" ht="14.4" customHeight="1" x14ac:dyDescent="0.3"/>
    <row r="878" s="88" customFormat="1" ht="14.4" customHeight="1" x14ac:dyDescent="0.3"/>
    <row r="879" s="88" customFormat="1" ht="14.4" customHeight="1" x14ac:dyDescent="0.3"/>
    <row r="880" s="88" customFormat="1" ht="14.4" customHeight="1" x14ac:dyDescent="0.3"/>
    <row r="881" s="88" customFormat="1" ht="14.4" customHeight="1" x14ac:dyDescent="0.3"/>
    <row r="882" s="88" customFormat="1" ht="14.4" customHeight="1" x14ac:dyDescent="0.3"/>
    <row r="883" s="88" customFormat="1" ht="14.4" customHeight="1" x14ac:dyDescent="0.3"/>
    <row r="884" s="88" customFormat="1" ht="14.4" customHeight="1" x14ac:dyDescent="0.3"/>
    <row r="885" s="88" customFormat="1" ht="14.4" customHeight="1" x14ac:dyDescent="0.3"/>
    <row r="886" s="88" customFormat="1" ht="14.4" customHeight="1" x14ac:dyDescent="0.3"/>
    <row r="887" s="88" customFormat="1" ht="14.4" customHeight="1" x14ac:dyDescent="0.3"/>
    <row r="888" s="88" customFormat="1" ht="14.4" customHeight="1" x14ac:dyDescent="0.3"/>
    <row r="889" s="88" customFormat="1" ht="14.4" customHeight="1" x14ac:dyDescent="0.3"/>
    <row r="890" s="88" customFormat="1" ht="14.4" customHeight="1" x14ac:dyDescent="0.3"/>
    <row r="891" s="88" customFormat="1" ht="14.4" customHeight="1" x14ac:dyDescent="0.3"/>
    <row r="892" s="88" customFormat="1" ht="14.4" customHeight="1" x14ac:dyDescent="0.3"/>
    <row r="893" s="88" customFormat="1" ht="14.4" customHeight="1" x14ac:dyDescent="0.3"/>
    <row r="894" s="88" customFormat="1" ht="14.4" customHeight="1" x14ac:dyDescent="0.3"/>
    <row r="895" s="88" customFormat="1" ht="14.4" customHeight="1" x14ac:dyDescent="0.3"/>
    <row r="896" s="88" customFormat="1" ht="14.4" customHeight="1" x14ac:dyDescent="0.3"/>
    <row r="897" s="88" customFormat="1" ht="14.4" customHeight="1" x14ac:dyDescent="0.3"/>
    <row r="898" s="88" customFormat="1" ht="14.4" customHeight="1" x14ac:dyDescent="0.3"/>
    <row r="899" s="88" customFormat="1" ht="14.4" customHeight="1" x14ac:dyDescent="0.3"/>
    <row r="900" s="88" customFormat="1" ht="14.4" customHeight="1" x14ac:dyDescent="0.3"/>
    <row r="901" s="88" customFormat="1" ht="14.4" customHeight="1" x14ac:dyDescent="0.3"/>
    <row r="902" s="88" customFormat="1" ht="14.4" customHeight="1" x14ac:dyDescent="0.3"/>
    <row r="903" s="88" customFormat="1" ht="14.4" customHeight="1" x14ac:dyDescent="0.3"/>
    <row r="904" s="88" customFormat="1" ht="14.4" customHeight="1" x14ac:dyDescent="0.3"/>
    <row r="905" s="88" customFormat="1" ht="14.4" customHeight="1" x14ac:dyDescent="0.3"/>
    <row r="906" s="88" customFormat="1" ht="14.4" customHeight="1" x14ac:dyDescent="0.3"/>
    <row r="907" s="88" customFormat="1" ht="14.4" customHeight="1" x14ac:dyDescent="0.3"/>
    <row r="908" s="88" customFormat="1" ht="14.4" customHeight="1" x14ac:dyDescent="0.3"/>
    <row r="909" s="88" customFormat="1" ht="14.4" customHeight="1" x14ac:dyDescent="0.3"/>
    <row r="910" s="88" customFormat="1" ht="14.4" customHeight="1" x14ac:dyDescent="0.3"/>
    <row r="911" s="88" customFormat="1" ht="14.4" customHeight="1" x14ac:dyDescent="0.3"/>
    <row r="912" s="88" customFormat="1" ht="14.4" customHeight="1" x14ac:dyDescent="0.3"/>
    <row r="913" s="88" customFormat="1" ht="14.4" customHeight="1" x14ac:dyDescent="0.3"/>
    <row r="914" s="88" customFormat="1" ht="14.4" customHeight="1" x14ac:dyDescent="0.3"/>
    <row r="915" s="88" customFormat="1" ht="14.4" customHeight="1" x14ac:dyDescent="0.3"/>
    <row r="916" s="88" customFormat="1" ht="14.4" customHeight="1" x14ac:dyDescent="0.3"/>
    <row r="917" s="88" customFormat="1" ht="14.4" customHeight="1" x14ac:dyDescent="0.3"/>
    <row r="918" s="88" customFormat="1" ht="14.4" customHeight="1" x14ac:dyDescent="0.3"/>
    <row r="919" s="88" customFormat="1" ht="14.4" customHeight="1" x14ac:dyDescent="0.3"/>
    <row r="920" s="88" customFormat="1" ht="14.4" customHeight="1" x14ac:dyDescent="0.3"/>
    <row r="921" s="88" customFormat="1" ht="14.4" customHeight="1" x14ac:dyDescent="0.3"/>
    <row r="922" s="88" customFormat="1" ht="14.4" customHeight="1" x14ac:dyDescent="0.3"/>
    <row r="923" s="88" customFormat="1" ht="14.4" customHeight="1" x14ac:dyDescent="0.3"/>
    <row r="924" s="88" customFormat="1" ht="14.4" customHeight="1" x14ac:dyDescent="0.3"/>
    <row r="925" s="88" customFormat="1" ht="14.4" customHeight="1" x14ac:dyDescent="0.3"/>
    <row r="926" s="88" customFormat="1" ht="14.4" customHeight="1" x14ac:dyDescent="0.3"/>
    <row r="927" s="88" customFormat="1" ht="14.4" customHeight="1" x14ac:dyDescent="0.3"/>
    <row r="928" s="88" customFormat="1" ht="14.4" customHeight="1" x14ac:dyDescent="0.3"/>
    <row r="929" s="88" customFormat="1" ht="14.4" customHeight="1" x14ac:dyDescent="0.3"/>
    <row r="930" s="88" customFormat="1" ht="14.4" customHeight="1" x14ac:dyDescent="0.3"/>
    <row r="931" s="88" customFormat="1" ht="14.4" customHeight="1" x14ac:dyDescent="0.3"/>
    <row r="932" s="88" customFormat="1" ht="14.4" customHeight="1" x14ac:dyDescent="0.3"/>
    <row r="933" s="88" customFormat="1" ht="14.4" customHeight="1" x14ac:dyDescent="0.3"/>
    <row r="934" s="88" customFormat="1" ht="14.4" customHeight="1" x14ac:dyDescent="0.3"/>
    <row r="935" s="88" customFormat="1" ht="14.4" customHeight="1" x14ac:dyDescent="0.3"/>
    <row r="936" s="88" customFormat="1" ht="14.4" customHeight="1" x14ac:dyDescent="0.3"/>
    <row r="937" s="88" customFormat="1" ht="14.4" customHeight="1" x14ac:dyDescent="0.3"/>
    <row r="938" s="88" customFormat="1" ht="14.4" customHeight="1" x14ac:dyDescent="0.3"/>
    <row r="939" s="88" customFormat="1" ht="14.4" customHeight="1" x14ac:dyDescent="0.3"/>
    <row r="940" s="88" customFormat="1" ht="14.4" customHeight="1" x14ac:dyDescent="0.3"/>
    <row r="941" s="88" customFormat="1" ht="14.4" customHeight="1" x14ac:dyDescent="0.3"/>
    <row r="942" s="88" customFormat="1" ht="14.4" customHeight="1" x14ac:dyDescent="0.3"/>
    <row r="943" s="88" customFormat="1" ht="14.4" customHeight="1" x14ac:dyDescent="0.3"/>
    <row r="944" s="88" customFormat="1" ht="14.4" customHeight="1" x14ac:dyDescent="0.3"/>
    <row r="945" s="88" customFormat="1" ht="14.4" customHeight="1" x14ac:dyDescent="0.3"/>
    <row r="946" s="88" customFormat="1" ht="14.4" customHeight="1" x14ac:dyDescent="0.3"/>
    <row r="947" s="88" customFormat="1" ht="14.4" customHeight="1" x14ac:dyDescent="0.3"/>
    <row r="948" s="88" customFormat="1" ht="14.4" customHeight="1" x14ac:dyDescent="0.3"/>
    <row r="949" s="88" customFormat="1" ht="14.4" customHeight="1" x14ac:dyDescent="0.3"/>
    <row r="950" s="88" customFormat="1" ht="14.4" customHeight="1" x14ac:dyDescent="0.3"/>
    <row r="951" s="88" customFormat="1" ht="14.4" customHeight="1" x14ac:dyDescent="0.3"/>
    <row r="952" s="88" customFormat="1" ht="14.4" customHeight="1" x14ac:dyDescent="0.3"/>
    <row r="953" s="88" customFormat="1" ht="14.4" customHeight="1" x14ac:dyDescent="0.3"/>
    <row r="954" s="88" customFormat="1" ht="14.4" customHeight="1" x14ac:dyDescent="0.3"/>
    <row r="955" s="88" customFormat="1" ht="14.4" customHeight="1" x14ac:dyDescent="0.3"/>
    <row r="956" s="88" customFormat="1" ht="14.4" customHeight="1" x14ac:dyDescent="0.3"/>
    <row r="957" s="88" customFormat="1" ht="14.4" customHeight="1" x14ac:dyDescent="0.3"/>
    <row r="958" s="88" customFormat="1" ht="14.4" customHeight="1" x14ac:dyDescent="0.3"/>
    <row r="959" s="88" customFormat="1" ht="14.4" customHeight="1" x14ac:dyDescent="0.3"/>
    <row r="960" s="88" customFormat="1" ht="14.4" customHeight="1" x14ac:dyDescent="0.3"/>
    <row r="961" s="88" customFormat="1" ht="14.4" customHeight="1" x14ac:dyDescent="0.3"/>
    <row r="962" s="88" customFormat="1" ht="14.4" customHeight="1" x14ac:dyDescent="0.3"/>
    <row r="963" s="88" customFormat="1" ht="14.4" customHeight="1" x14ac:dyDescent="0.3"/>
    <row r="964" s="88" customFormat="1" ht="14.4" customHeight="1" x14ac:dyDescent="0.3"/>
    <row r="965" s="88" customFormat="1" ht="14.4" customHeight="1" x14ac:dyDescent="0.3"/>
    <row r="966" s="88" customFormat="1" ht="14.4" customHeight="1" x14ac:dyDescent="0.3"/>
    <row r="967" s="88" customFormat="1" ht="14.4" customHeight="1" x14ac:dyDescent="0.3"/>
    <row r="968" s="88" customFormat="1" ht="14.4" customHeight="1" x14ac:dyDescent="0.3"/>
    <row r="969" s="88" customFormat="1" ht="14.4" customHeight="1" x14ac:dyDescent="0.3"/>
    <row r="970" s="88" customFormat="1" ht="14.4" customHeight="1" x14ac:dyDescent="0.3"/>
    <row r="971" s="88" customFormat="1" ht="14.4" customHeight="1" x14ac:dyDescent="0.3"/>
    <row r="972" s="88" customFormat="1" ht="14.4" customHeight="1" x14ac:dyDescent="0.3"/>
    <row r="973" s="88" customFormat="1" ht="14.4" customHeight="1" x14ac:dyDescent="0.3"/>
    <row r="974" s="88" customFormat="1" ht="14.4" customHeight="1" x14ac:dyDescent="0.3"/>
    <row r="975" s="88" customFormat="1" ht="14.4" customHeight="1" x14ac:dyDescent="0.3"/>
    <row r="976" s="88" customFormat="1" ht="14.4" customHeight="1" x14ac:dyDescent="0.3"/>
    <row r="977" s="88" customFormat="1" ht="14.4" customHeight="1" x14ac:dyDescent="0.3"/>
    <row r="978" s="88" customFormat="1" ht="14.4" customHeight="1" x14ac:dyDescent="0.3"/>
    <row r="979" s="88" customFormat="1" ht="14.4" customHeight="1" x14ac:dyDescent="0.3"/>
    <row r="980" s="88" customFormat="1" ht="14.4" customHeight="1" x14ac:dyDescent="0.3"/>
    <row r="981" s="88" customFormat="1" ht="14.4" customHeight="1" x14ac:dyDescent="0.3"/>
    <row r="982" s="88" customFormat="1" ht="14.4" customHeight="1" x14ac:dyDescent="0.3"/>
    <row r="983" s="88" customFormat="1" ht="14.4" customHeight="1" x14ac:dyDescent="0.3"/>
    <row r="984" s="88" customFormat="1" ht="14.4" customHeight="1" x14ac:dyDescent="0.3"/>
    <row r="985" s="88" customFormat="1" ht="14.4" customHeight="1" x14ac:dyDescent="0.3"/>
    <row r="986" s="88" customFormat="1" ht="14.4" customHeight="1" x14ac:dyDescent="0.3"/>
    <row r="987" s="88" customFormat="1" ht="14.4" customHeight="1" x14ac:dyDescent="0.3"/>
    <row r="988" s="88" customFormat="1" ht="14.4" customHeight="1" x14ac:dyDescent="0.3"/>
    <row r="989" s="88" customFormat="1" ht="14.4" customHeight="1" x14ac:dyDescent="0.3"/>
    <row r="990" s="88" customFormat="1" ht="14.4" customHeight="1" x14ac:dyDescent="0.3"/>
    <row r="991" s="88" customFormat="1" ht="14.4" customHeight="1" x14ac:dyDescent="0.3"/>
    <row r="992" s="88" customFormat="1" ht="14.4" customHeight="1" x14ac:dyDescent="0.3"/>
    <row r="993" s="88" customFormat="1" ht="14.4" customHeight="1" x14ac:dyDescent="0.3"/>
    <row r="994" s="88" customFormat="1" ht="14.4" customHeight="1" x14ac:dyDescent="0.3"/>
    <row r="995" s="88" customFormat="1" ht="14.4" customHeight="1" x14ac:dyDescent="0.3"/>
    <row r="996" s="88" customFormat="1" ht="14.4" customHeight="1" x14ac:dyDescent="0.3"/>
    <row r="997" s="88" customFormat="1" ht="14.4" customHeight="1" x14ac:dyDescent="0.3"/>
    <row r="998" s="88" customFormat="1" ht="14.4" customHeight="1" x14ac:dyDescent="0.3"/>
    <row r="999" s="88" customFormat="1" ht="14.4" customHeight="1" x14ac:dyDescent="0.3"/>
    <row r="1000" s="88" customFormat="1" ht="14.4" customHeight="1" x14ac:dyDescent="0.3"/>
    <row r="1001" s="88" customFormat="1" ht="14.4" customHeight="1" x14ac:dyDescent="0.3"/>
    <row r="1002" s="88" customFormat="1" ht="14.4" customHeight="1" x14ac:dyDescent="0.3"/>
    <row r="1003" s="88" customFormat="1" ht="14.4" customHeight="1" x14ac:dyDescent="0.3"/>
    <row r="1004" s="88" customFormat="1" ht="14.4" customHeight="1" x14ac:dyDescent="0.3"/>
    <row r="1005" s="88" customFormat="1" ht="14.4" customHeight="1" x14ac:dyDescent="0.3"/>
    <row r="1006" s="88" customFormat="1" ht="14.4" customHeight="1" x14ac:dyDescent="0.3"/>
    <row r="1007" s="88" customFormat="1" ht="14.4" customHeight="1" x14ac:dyDescent="0.3"/>
    <row r="1008" s="88" customFormat="1" ht="14.4" customHeight="1" x14ac:dyDescent="0.3"/>
    <row r="1009" s="88" customFormat="1" ht="14.4" customHeight="1" x14ac:dyDescent="0.3"/>
    <row r="1010" s="88" customFormat="1" ht="14.4" customHeight="1" x14ac:dyDescent="0.3"/>
    <row r="1011" s="88" customFormat="1" ht="14.4" customHeight="1" x14ac:dyDescent="0.3"/>
    <row r="1012" s="88" customFormat="1" ht="14.4" customHeight="1" x14ac:dyDescent="0.3"/>
    <row r="1013" s="88" customFormat="1" ht="14.4" customHeight="1" x14ac:dyDescent="0.3"/>
    <row r="1014" s="88" customFormat="1" ht="14.4" customHeight="1" x14ac:dyDescent="0.3"/>
    <row r="1015" s="88" customFormat="1" ht="14.4" customHeight="1" x14ac:dyDescent="0.3"/>
    <row r="1016" s="88" customFormat="1" ht="14.4" customHeight="1" x14ac:dyDescent="0.3"/>
    <row r="1017" s="88" customFormat="1" ht="14.4" customHeight="1" x14ac:dyDescent="0.3"/>
    <row r="1018" s="88" customFormat="1" ht="14.4" customHeight="1" x14ac:dyDescent="0.3"/>
    <row r="1019" s="88" customFormat="1" ht="14.4" customHeight="1" x14ac:dyDescent="0.3"/>
    <row r="1020" s="88" customFormat="1" ht="14.4" customHeight="1" x14ac:dyDescent="0.3"/>
    <row r="1021" s="88" customFormat="1" ht="14.4" customHeight="1" x14ac:dyDescent="0.3"/>
    <row r="1022" s="88" customFormat="1" ht="14.4" customHeight="1" x14ac:dyDescent="0.3"/>
    <row r="1023" s="88" customFormat="1" ht="14.4" customHeight="1" x14ac:dyDescent="0.3"/>
    <row r="1024" s="88" customFormat="1" ht="14.4" customHeight="1" x14ac:dyDescent="0.3"/>
    <row r="1025" s="88" customFormat="1" ht="14.4" customHeight="1" x14ac:dyDescent="0.3"/>
    <row r="1026" s="88" customFormat="1" ht="14.4" customHeight="1" x14ac:dyDescent="0.3"/>
    <row r="1027" s="88" customFormat="1" ht="14.4" customHeight="1" x14ac:dyDescent="0.3"/>
    <row r="1028" s="88" customFormat="1" ht="14.4" customHeight="1" x14ac:dyDescent="0.3"/>
    <row r="1029" s="88" customFormat="1" ht="14.4" customHeight="1" x14ac:dyDescent="0.3"/>
    <row r="1030" s="88" customFormat="1" ht="14.4" customHeight="1" x14ac:dyDescent="0.3"/>
    <row r="1031" s="88" customFormat="1" ht="14.4" customHeight="1" x14ac:dyDescent="0.3"/>
    <row r="1032" s="88" customFormat="1" ht="14.4" customHeight="1" x14ac:dyDescent="0.3"/>
    <row r="1033" s="88" customFormat="1" ht="14.4" customHeight="1" x14ac:dyDescent="0.3"/>
    <row r="1034" s="88" customFormat="1" ht="14.4" customHeight="1" x14ac:dyDescent="0.3"/>
    <row r="1035" s="88" customFormat="1" ht="14.4" customHeight="1" x14ac:dyDescent="0.3"/>
    <row r="1036" s="88" customFormat="1" ht="14.4" customHeight="1" x14ac:dyDescent="0.3"/>
    <row r="1037" s="88" customFormat="1" ht="14.4" customHeight="1" x14ac:dyDescent="0.3"/>
    <row r="1038" s="88" customFormat="1" ht="14.4" customHeight="1" x14ac:dyDescent="0.3"/>
    <row r="1039" s="88" customFormat="1" ht="14.4" customHeight="1" x14ac:dyDescent="0.3"/>
    <row r="1040" s="88" customFormat="1" ht="14.4" customHeight="1" x14ac:dyDescent="0.3"/>
    <row r="1041" s="88" customFormat="1" ht="14.4" customHeight="1" x14ac:dyDescent="0.3"/>
    <row r="1042" s="88" customFormat="1" ht="14.4" customHeight="1" x14ac:dyDescent="0.3"/>
    <row r="1043" s="88" customFormat="1" ht="14.4" customHeight="1" x14ac:dyDescent="0.3"/>
    <row r="1044" s="88" customFormat="1" ht="14.4" customHeight="1" x14ac:dyDescent="0.3"/>
    <row r="1045" s="88" customFormat="1" ht="14.4" customHeight="1" x14ac:dyDescent="0.3"/>
    <row r="1046" s="88" customFormat="1" ht="14.4" customHeight="1" x14ac:dyDescent="0.3"/>
    <row r="1047" s="88" customFormat="1" ht="14.4" customHeight="1" x14ac:dyDescent="0.3"/>
    <row r="1048" s="88" customFormat="1" ht="14.4" customHeight="1" x14ac:dyDescent="0.3"/>
    <row r="1049" s="88" customFormat="1" ht="14.4" customHeight="1" x14ac:dyDescent="0.3"/>
    <row r="1050" s="88" customFormat="1" ht="14.4" customHeight="1" x14ac:dyDescent="0.3"/>
    <row r="1051" s="88" customFormat="1" ht="14.4" customHeight="1" x14ac:dyDescent="0.3"/>
    <row r="1052" s="88" customFormat="1" ht="14.4" customHeight="1" x14ac:dyDescent="0.3"/>
    <row r="1053" s="88" customFormat="1" ht="14.4" customHeight="1" x14ac:dyDescent="0.3"/>
    <row r="1054" s="88" customFormat="1" ht="14.4" customHeight="1" x14ac:dyDescent="0.3"/>
    <row r="1055" s="88" customFormat="1" ht="14.4" customHeight="1" x14ac:dyDescent="0.3"/>
    <row r="1056" s="88" customFormat="1" ht="14.4" customHeight="1" x14ac:dyDescent="0.3"/>
    <row r="1057" s="88" customFormat="1" ht="14.4" customHeight="1" x14ac:dyDescent="0.3"/>
    <row r="1058" s="88" customFormat="1" ht="14.4" customHeight="1" x14ac:dyDescent="0.3"/>
    <row r="1059" s="88" customFormat="1" ht="14.4" customHeight="1" x14ac:dyDescent="0.3"/>
    <row r="1060" s="88" customFormat="1" ht="14.4" customHeight="1" x14ac:dyDescent="0.3"/>
    <row r="1061" s="88" customFormat="1" ht="14.4" customHeight="1" x14ac:dyDescent="0.3"/>
    <row r="1062" s="88" customFormat="1" ht="14.4" customHeight="1" x14ac:dyDescent="0.3"/>
    <row r="1063" s="88" customFormat="1" ht="14.4" customHeight="1" x14ac:dyDescent="0.3"/>
    <row r="1064" s="88" customFormat="1" ht="14.4" customHeight="1" x14ac:dyDescent="0.3"/>
    <row r="1065" s="88" customFormat="1" ht="14.4" customHeight="1" x14ac:dyDescent="0.3"/>
    <row r="1066" s="88" customFormat="1" ht="14.4" customHeight="1" x14ac:dyDescent="0.3"/>
    <row r="1067" s="88" customFormat="1" ht="14.4" customHeight="1" x14ac:dyDescent="0.3"/>
    <row r="1068" s="88" customFormat="1" ht="14.4" customHeight="1" x14ac:dyDescent="0.3"/>
    <row r="1069" s="88" customFormat="1" ht="14.4" customHeight="1" x14ac:dyDescent="0.3"/>
    <row r="1070" s="88" customFormat="1" ht="14.4" customHeight="1" x14ac:dyDescent="0.3"/>
    <row r="1071" s="88" customFormat="1" ht="14.4" customHeight="1" x14ac:dyDescent="0.3"/>
    <row r="1072" s="88" customFormat="1" ht="14.4" customHeight="1" x14ac:dyDescent="0.3"/>
    <row r="1073" s="88" customFormat="1" ht="14.4" customHeight="1" x14ac:dyDescent="0.3"/>
    <row r="1074" s="88" customFormat="1" ht="14.4" customHeight="1" x14ac:dyDescent="0.3"/>
    <row r="1075" s="88" customFormat="1" ht="14.4" customHeight="1" x14ac:dyDescent="0.3"/>
    <row r="1076" s="88" customFormat="1" ht="14.4" customHeight="1" x14ac:dyDescent="0.3"/>
    <row r="1077" s="88" customFormat="1" ht="14.4" customHeight="1" x14ac:dyDescent="0.3"/>
    <row r="1078" s="88" customFormat="1" ht="14.4" customHeight="1" x14ac:dyDescent="0.3"/>
    <row r="1079" s="88" customFormat="1" ht="14.4" customHeight="1" x14ac:dyDescent="0.3"/>
    <row r="1080" s="88" customFormat="1" ht="14.4" customHeight="1" x14ac:dyDescent="0.3"/>
    <row r="1081" s="88" customFormat="1" ht="14.4" customHeight="1" x14ac:dyDescent="0.3"/>
    <row r="1082" s="88" customFormat="1" ht="14.4" customHeight="1" x14ac:dyDescent="0.3"/>
    <row r="1083" s="88" customFormat="1" ht="14.4" customHeight="1" x14ac:dyDescent="0.3"/>
    <row r="1084" s="88" customFormat="1" ht="14.4" customHeight="1" x14ac:dyDescent="0.3"/>
    <row r="1085" s="88" customFormat="1" ht="14.4" customHeight="1" x14ac:dyDescent="0.3"/>
    <row r="1086" s="88" customFormat="1" ht="14.4" customHeight="1" x14ac:dyDescent="0.3"/>
    <row r="1087" s="88" customFormat="1" ht="14.4" customHeight="1" x14ac:dyDescent="0.3"/>
    <row r="1088" s="88" customFormat="1" ht="14.4" customHeight="1" x14ac:dyDescent="0.3"/>
    <row r="1089" s="88" customFormat="1" ht="14.4" customHeight="1" x14ac:dyDescent="0.3"/>
    <row r="1090" s="88" customFormat="1" ht="14.4" customHeight="1" x14ac:dyDescent="0.3"/>
    <row r="1091" s="88" customFormat="1" ht="14.4" customHeight="1" x14ac:dyDescent="0.3"/>
    <row r="1092" s="88" customFormat="1" ht="14.4" customHeight="1" x14ac:dyDescent="0.3"/>
    <row r="1093" s="88" customFormat="1" ht="14.4" customHeight="1" x14ac:dyDescent="0.3"/>
    <row r="1094" s="88" customFormat="1" ht="14.4" customHeight="1" x14ac:dyDescent="0.3"/>
    <row r="1095" s="88" customFormat="1" ht="14.4" customHeight="1" x14ac:dyDescent="0.3"/>
    <row r="1096" s="88" customFormat="1" ht="14.4" customHeight="1" x14ac:dyDescent="0.3"/>
    <row r="1097" s="88" customFormat="1" ht="14.4" customHeight="1" x14ac:dyDescent="0.3"/>
    <row r="1098" s="88" customFormat="1" ht="14.4" customHeight="1" x14ac:dyDescent="0.3"/>
    <row r="1099" s="88" customFormat="1" ht="14.4" customHeight="1" x14ac:dyDescent="0.3"/>
    <row r="1100" s="88" customFormat="1" ht="14.4" customHeight="1" x14ac:dyDescent="0.3"/>
    <row r="1101" s="88" customFormat="1" ht="14.4" customHeight="1" x14ac:dyDescent="0.3"/>
    <row r="1102" s="88" customFormat="1" ht="14.4" customHeight="1" x14ac:dyDescent="0.3"/>
    <row r="1103" s="88" customFormat="1" ht="14.4" customHeight="1" x14ac:dyDescent="0.3"/>
    <row r="1104" s="88" customFormat="1" ht="14.4" customHeight="1" x14ac:dyDescent="0.3"/>
    <row r="1105" s="88" customFormat="1" ht="14.4" customHeight="1" x14ac:dyDescent="0.3"/>
    <row r="1106" s="88" customFormat="1" ht="14.4" customHeight="1" x14ac:dyDescent="0.3"/>
    <row r="1107" s="88" customFormat="1" ht="14.4" customHeight="1" x14ac:dyDescent="0.3"/>
    <row r="1108" s="88" customFormat="1" ht="14.4" customHeight="1" x14ac:dyDescent="0.3"/>
    <row r="1109" s="88" customFormat="1" ht="14.4" customHeight="1" x14ac:dyDescent="0.3"/>
    <row r="1110" s="88" customFormat="1" ht="14.4" customHeight="1" x14ac:dyDescent="0.3"/>
    <row r="1111" s="88" customFormat="1" ht="14.4" customHeight="1" x14ac:dyDescent="0.3"/>
    <row r="1112" s="88" customFormat="1" ht="14.4" customHeight="1" x14ac:dyDescent="0.3"/>
    <row r="1113" s="88" customFormat="1" ht="14.4" customHeight="1" x14ac:dyDescent="0.3"/>
    <row r="1114" s="88" customFormat="1" ht="14.4" customHeight="1" x14ac:dyDescent="0.3"/>
    <row r="1115" s="88" customFormat="1" ht="14.4" customHeight="1" x14ac:dyDescent="0.3"/>
    <row r="1116" s="88" customFormat="1" ht="14.4" customHeight="1" x14ac:dyDescent="0.3"/>
    <row r="1117" s="88" customFormat="1" ht="14.4" customHeight="1" x14ac:dyDescent="0.3"/>
    <row r="1118" s="88" customFormat="1" ht="14.4" customHeight="1" x14ac:dyDescent="0.3"/>
    <row r="1119" s="88" customFormat="1" ht="14.4" customHeight="1" x14ac:dyDescent="0.3"/>
    <row r="1120" s="88" customFormat="1" ht="14.4" customHeight="1" x14ac:dyDescent="0.3"/>
    <row r="1121" s="88" customFormat="1" ht="14.4" customHeight="1" x14ac:dyDescent="0.3"/>
    <row r="1122" s="88" customFormat="1" ht="14.4" customHeight="1" x14ac:dyDescent="0.3"/>
    <row r="1123" s="88" customFormat="1" ht="14.4" customHeight="1" x14ac:dyDescent="0.3"/>
    <row r="1124" s="88" customFormat="1" ht="14.4" customHeight="1" x14ac:dyDescent="0.3"/>
    <row r="1125" s="88" customFormat="1" ht="14.4" customHeight="1" x14ac:dyDescent="0.3"/>
    <row r="1126" s="88" customFormat="1" ht="14.4" customHeight="1" x14ac:dyDescent="0.3"/>
    <row r="1127" s="88" customFormat="1" ht="14.4" customHeight="1" x14ac:dyDescent="0.3"/>
    <row r="1128" s="88" customFormat="1" ht="14.4" customHeight="1" x14ac:dyDescent="0.3"/>
    <row r="1129" s="88" customFormat="1" ht="14.4" customHeight="1" x14ac:dyDescent="0.3"/>
    <row r="1130" s="88" customFormat="1" ht="14.4" customHeight="1" x14ac:dyDescent="0.3"/>
    <row r="1131" s="88" customFormat="1" ht="14.4" customHeight="1" x14ac:dyDescent="0.3"/>
    <row r="1132" s="88" customFormat="1" ht="14.4" customHeight="1" x14ac:dyDescent="0.3"/>
    <row r="1133" s="88" customFormat="1" ht="14.4" customHeight="1" x14ac:dyDescent="0.3"/>
    <row r="1134" s="88" customFormat="1" ht="14.4" customHeight="1" x14ac:dyDescent="0.3"/>
    <row r="1135" s="88" customFormat="1" ht="14.4" customHeight="1" x14ac:dyDescent="0.3"/>
    <row r="1136" s="88" customFormat="1" ht="14.4" customHeight="1" x14ac:dyDescent="0.3"/>
    <row r="1137" s="88" customFormat="1" ht="14.4" customHeight="1" x14ac:dyDescent="0.3"/>
    <row r="1138" s="88" customFormat="1" ht="14.4" customHeight="1" x14ac:dyDescent="0.3"/>
    <row r="1139" s="88" customFormat="1" ht="14.4" customHeight="1" x14ac:dyDescent="0.3"/>
    <row r="1140" s="88" customFormat="1" ht="14.4" customHeight="1" x14ac:dyDescent="0.3"/>
    <row r="1141" s="88" customFormat="1" ht="14.4" customHeight="1" x14ac:dyDescent="0.3"/>
    <row r="1142" s="88" customFormat="1" ht="14.4" customHeight="1" x14ac:dyDescent="0.3"/>
    <row r="1143" s="88" customFormat="1" ht="14.4" customHeight="1" x14ac:dyDescent="0.3"/>
    <row r="1144" s="88" customFormat="1" ht="14.4" customHeight="1" x14ac:dyDescent="0.3"/>
    <row r="1145" s="88" customFormat="1" ht="14.4" customHeight="1" x14ac:dyDescent="0.3"/>
    <row r="1146" s="88" customFormat="1" ht="14.4" customHeight="1" x14ac:dyDescent="0.3"/>
    <row r="1147" s="88" customFormat="1" ht="14.4" customHeight="1" x14ac:dyDescent="0.3"/>
    <row r="1148" s="88" customFormat="1" ht="14.4" customHeight="1" x14ac:dyDescent="0.3"/>
    <row r="1149" s="88" customFormat="1" ht="14.4" customHeight="1" x14ac:dyDescent="0.3"/>
    <row r="1150" s="88" customFormat="1" ht="14.4" customHeight="1" x14ac:dyDescent="0.3"/>
    <row r="1151" s="88" customFormat="1" ht="14.4" customHeight="1" x14ac:dyDescent="0.3"/>
    <row r="1152" s="88" customFormat="1" ht="14.4" customHeight="1" x14ac:dyDescent="0.3"/>
    <row r="1153" s="88" customFormat="1" ht="14.4" customHeight="1" x14ac:dyDescent="0.3"/>
    <row r="1154" s="88" customFormat="1" ht="14.4" customHeight="1" x14ac:dyDescent="0.3"/>
    <row r="1155" s="88" customFormat="1" ht="14.4" customHeight="1" x14ac:dyDescent="0.3"/>
    <row r="1156" s="88" customFormat="1" ht="14.4" customHeight="1" x14ac:dyDescent="0.3"/>
    <row r="1157" s="88" customFormat="1" ht="14.4" customHeight="1" x14ac:dyDescent="0.3"/>
    <row r="1158" s="88" customFormat="1" ht="14.4" customHeight="1" x14ac:dyDescent="0.3"/>
    <row r="1159" s="88" customFormat="1" ht="14.4" customHeight="1" x14ac:dyDescent="0.3"/>
    <row r="1160" s="88" customFormat="1" ht="14.4" customHeight="1" x14ac:dyDescent="0.3"/>
    <row r="1161" s="88" customFormat="1" ht="14.4" customHeight="1" x14ac:dyDescent="0.3"/>
    <row r="1162" s="88" customFormat="1" ht="14.4" customHeight="1" x14ac:dyDescent="0.3"/>
    <row r="1163" s="88" customFormat="1" ht="14.4" customHeight="1" x14ac:dyDescent="0.3"/>
    <row r="1164" s="88" customFormat="1" ht="14.4" customHeight="1" x14ac:dyDescent="0.3"/>
    <row r="1165" s="88" customFormat="1" ht="14.4" customHeight="1" x14ac:dyDescent="0.3"/>
    <row r="1166" s="88" customFormat="1" ht="14.4" customHeight="1" x14ac:dyDescent="0.3"/>
    <row r="1167" s="88" customFormat="1" ht="14.4" customHeight="1" x14ac:dyDescent="0.3"/>
    <row r="1168" s="88" customFormat="1" ht="14.4" customHeight="1" x14ac:dyDescent="0.3"/>
    <row r="1169" s="88" customFormat="1" ht="14.4" customHeight="1" x14ac:dyDescent="0.3"/>
    <row r="1170" s="88" customFormat="1" ht="14.4" customHeight="1" x14ac:dyDescent="0.3"/>
    <row r="1171" s="88" customFormat="1" ht="14.4" customHeight="1" x14ac:dyDescent="0.3"/>
    <row r="1172" s="88" customFormat="1" ht="14.4" customHeight="1" x14ac:dyDescent="0.3"/>
    <row r="1173" s="88" customFormat="1" ht="14.4" customHeight="1" x14ac:dyDescent="0.3"/>
    <row r="1174" s="88" customFormat="1" ht="14.4" customHeight="1" x14ac:dyDescent="0.3"/>
    <row r="1175" s="88" customFormat="1" ht="14.4" customHeight="1" x14ac:dyDescent="0.3"/>
    <row r="1176" s="88" customFormat="1" ht="14.4" customHeight="1" x14ac:dyDescent="0.3"/>
    <row r="1177" s="88" customFormat="1" ht="14.4" customHeight="1" x14ac:dyDescent="0.3"/>
    <row r="1178" s="88" customFormat="1" ht="14.4" customHeight="1" x14ac:dyDescent="0.3"/>
    <row r="1179" s="88" customFormat="1" ht="14.4" customHeight="1" x14ac:dyDescent="0.3"/>
    <row r="1180" s="88" customFormat="1" ht="14.4" customHeight="1" x14ac:dyDescent="0.3"/>
    <row r="1181" s="88" customFormat="1" ht="14.4" customHeight="1" x14ac:dyDescent="0.3"/>
    <row r="1182" s="88" customFormat="1" ht="14.4" customHeight="1" x14ac:dyDescent="0.3"/>
    <row r="1183" s="88" customFormat="1" ht="14.4" customHeight="1" x14ac:dyDescent="0.3"/>
    <row r="1184" s="88" customFormat="1" ht="14.4" customHeight="1" x14ac:dyDescent="0.3"/>
    <row r="1185" s="88" customFormat="1" ht="14.4" customHeight="1" x14ac:dyDescent="0.3"/>
    <row r="1186" s="88" customFormat="1" ht="14.4" customHeight="1" x14ac:dyDescent="0.3"/>
    <row r="1187" s="88" customFormat="1" ht="14.4" customHeight="1" x14ac:dyDescent="0.3"/>
    <row r="1188" s="88" customFormat="1" ht="14.4" customHeight="1" x14ac:dyDescent="0.3"/>
    <row r="1189" s="88" customFormat="1" ht="14.4" customHeight="1" x14ac:dyDescent="0.3"/>
    <row r="1190" s="88" customFormat="1" ht="14.4" customHeight="1" x14ac:dyDescent="0.3"/>
    <row r="1191" s="88" customFormat="1" ht="14.4" customHeight="1" x14ac:dyDescent="0.3"/>
    <row r="1192" s="88" customFormat="1" ht="14.4" customHeight="1" x14ac:dyDescent="0.3"/>
    <row r="1193" s="88" customFormat="1" ht="14.4" customHeight="1" x14ac:dyDescent="0.3"/>
    <row r="1194" s="88" customFormat="1" ht="14.4" customHeight="1" x14ac:dyDescent="0.3"/>
    <row r="1195" s="88" customFormat="1" ht="14.4" customHeight="1" x14ac:dyDescent="0.3"/>
    <row r="1196" s="88" customFormat="1" ht="14.4" customHeight="1" x14ac:dyDescent="0.3"/>
    <row r="1197" s="88" customFormat="1" ht="14.4" customHeight="1" x14ac:dyDescent="0.3"/>
    <row r="1198" s="88" customFormat="1" ht="14.4" customHeight="1" x14ac:dyDescent="0.3"/>
    <row r="1199" s="88" customFormat="1" ht="14.4" customHeight="1" x14ac:dyDescent="0.3"/>
    <row r="1200" s="88" customFormat="1" ht="14.4" customHeight="1" x14ac:dyDescent="0.3"/>
    <row r="1201" s="88" customFormat="1" ht="14.4" customHeight="1" x14ac:dyDescent="0.3"/>
    <row r="1202" s="88" customFormat="1" ht="14.4" customHeight="1" x14ac:dyDescent="0.3"/>
    <row r="1203" s="88" customFormat="1" ht="14.4" customHeight="1" x14ac:dyDescent="0.3"/>
    <row r="1204" s="88" customFormat="1" ht="14.4" customHeight="1" x14ac:dyDescent="0.3"/>
    <row r="1205" s="88" customFormat="1" ht="14.4" customHeight="1" x14ac:dyDescent="0.3"/>
    <row r="1206" s="88" customFormat="1" ht="14.4" customHeight="1" x14ac:dyDescent="0.3"/>
    <row r="1207" s="88" customFormat="1" ht="14.4" customHeight="1" x14ac:dyDescent="0.3"/>
    <row r="1208" s="88" customFormat="1" ht="14.4" customHeight="1" x14ac:dyDescent="0.3"/>
    <row r="1209" s="88" customFormat="1" ht="14.4" customHeight="1" x14ac:dyDescent="0.3"/>
    <row r="1210" s="88" customFormat="1" ht="14.4" customHeight="1" x14ac:dyDescent="0.3"/>
    <row r="1211" s="88" customFormat="1" ht="14.4" customHeight="1" x14ac:dyDescent="0.3"/>
    <row r="1212" s="88" customFormat="1" ht="14.4" customHeight="1" x14ac:dyDescent="0.3"/>
    <row r="1213" s="88" customFormat="1" ht="14.4" customHeight="1" x14ac:dyDescent="0.3"/>
    <row r="1214" s="88" customFormat="1" ht="14.4" customHeight="1" x14ac:dyDescent="0.3"/>
    <row r="1215" s="88" customFormat="1" ht="14.4" customHeight="1" x14ac:dyDescent="0.3"/>
    <row r="1216" s="88" customFormat="1" ht="14.4" customHeight="1" x14ac:dyDescent="0.3"/>
    <row r="1217" s="88" customFormat="1" ht="14.4" customHeight="1" x14ac:dyDescent="0.3"/>
    <row r="1218" s="88" customFormat="1" ht="14.4" customHeight="1" x14ac:dyDescent="0.3"/>
    <row r="1219" s="88" customFormat="1" ht="14.4" customHeight="1" x14ac:dyDescent="0.3"/>
    <row r="1220" s="88" customFormat="1" ht="14.4" customHeight="1" x14ac:dyDescent="0.3"/>
    <row r="1221" s="88" customFormat="1" ht="14.4" customHeight="1" x14ac:dyDescent="0.3"/>
    <row r="1222" s="88" customFormat="1" ht="14.4" customHeight="1" x14ac:dyDescent="0.3"/>
    <row r="1223" s="88" customFormat="1" ht="14.4" customHeight="1" x14ac:dyDescent="0.3"/>
    <row r="1224" s="88" customFormat="1" ht="14.4" customHeight="1" x14ac:dyDescent="0.3"/>
    <row r="1225" s="88" customFormat="1" ht="14.4" customHeight="1" x14ac:dyDescent="0.3"/>
    <row r="1226" s="88" customFormat="1" ht="14.4" customHeight="1" x14ac:dyDescent="0.3"/>
    <row r="1227" s="88" customFormat="1" ht="14.4" customHeight="1" x14ac:dyDescent="0.3"/>
    <row r="1228" s="88" customFormat="1" ht="14.4" customHeight="1" x14ac:dyDescent="0.3"/>
    <row r="1229" s="88" customFormat="1" ht="14.4" customHeight="1" x14ac:dyDescent="0.3"/>
    <row r="1230" s="88" customFormat="1" ht="14.4" customHeight="1" x14ac:dyDescent="0.3"/>
    <row r="1231" s="88" customFormat="1" ht="14.4" customHeight="1" x14ac:dyDescent="0.3"/>
    <row r="1232" s="88" customFormat="1" ht="14.4" customHeight="1" x14ac:dyDescent="0.3"/>
    <row r="1233" s="88" customFormat="1" ht="14.4" customHeight="1" x14ac:dyDescent="0.3"/>
    <row r="1234" s="88" customFormat="1" ht="14.4" customHeight="1" x14ac:dyDescent="0.3"/>
    <row r="1235" s="88" customFormat="1" ht="14.4" customHeight="1" x14ac:dyDescent="0.3"/>
    <row r="1236" s="88" customFormat="1" ht="14.4" customHeight="1" x14ac:dyDescent="0.3"/>
    <row r="1237" s="88" customFormat="1" ht="14.4" customHeight="1" x14ac:dyDescent="0.3"/>
    <row r="1238" s="88" customFormat="1" ht="14.4" customHeight="1" x14ac:dyDescent="0.3"/>
    <row r="1239" s="88" customFormat="1" ht="14.4" customHeight="1" x14ac:dyDescent="0.3"/>
    <row r="1240" s="88" customFormat="1" ht="14.4" customHeight="1" x14ac:dyDescent="0.3"/>
    <row r="1241" s="88" customFormat="1" ht="14.4" customHeight="1" x14ac:dyDescent="0.3"/>
    <row r="1242" s="88" customFormat="1" ht="14.4" customHeight="1" x14ac:dyDescent="0.3"/>
    <row r="1243" s="88" customFormat="1" ht="14.4" customHeight="1" x14ac:dyDescent="0.3"/>
    <row r="1244" s="88" customFormat="1" ht="14.4" customHeight="1" x14ac:dyDescent="0.3"/>
    <row r="1245" s="88" customFormat="1" ht="14.4" customHeight="1" x14ac:dyDescent="0.3"/>
    <row r="1246" s="88" customFormat="1" ht="14.4" customHeight="1" x14ac:dyDescent="0.3"/>
    <row r="1247" s="88" customFormat="1" ht="14.4" customHeight="1" x14ac:dyDescent="0.3"/>
    <row r="1248" s="88" customFormat="1" ht="14.4" customHeight="1" x14ac:dyDescent="0.3"/>
    <row r="1249" s="88" customFormat="1" ht="14.4" customHeight="1" x14ac:dyDescent="0.3"/>
    <row r="1250" s="88" customFormat="1" ht="14.4" customHeight="1" x14ac:dyDescent="0.3"/>
    <row r="1251" s="88" customFormat="1" ht="14.4" customHeight="1" x14ac:dyDescent="0.3"/>
    <row r="1252" s="88" customFormat="1" ht="14.4" customHeight="1" x14ac:dyDescent="0.3"/>
    <row r="1253" s="88" customFormat="1" ht="14.4" customHeight="1" x14ac:dyDescent="0.3"/>
    <row r="1254" s="88" customFormat="1" ht="14.4" customHeight="1" x14ac:dyDescent="0.3"/>
    <row r="1255" s="88" customFormat="1" ht="14.4" customHeight="1" x14ac:dyDescent="0.3"/>
    <row r="1256" s="88" customFormat="1" ht="14.4" customHeight="1" x14ac:dyDescent="0.3"/>
    <row r="1257" s="88" customFormat="1" ht="14.4" customHeight="1" x14ac:dyDescent="0.3"/>
    <row r="1258" s="88" customFormat="1" ht="14.4" customHeight="1" x14ac:dyDescent="0.3"/>
    <row r="1259" s="88" customFormat="1" ht="14.4" customHeight="1" x14ac:dyDescent="0.3"/>
    <row r="1260" s="88" customFormat="1" ht="14.4" customHeight="1" x14ac:dyDescent="0.3"/>
    <row r="1261" s="88" customFormat="1" ht="14.4" customHeight="1" x14ac:dyDescent="0.3"/>
    <row r="1262" s="88" customFormat="1" ht="14.4" customHeight="1" x14ac:dyDescent="0.3"/>
    <row r="1263" s="88" customFormat="1" ht="14.4" customHeight="1" x14ac:dyDescent="0.3"/>
    <row r="1264" s="88" customFormat="1" ht="14.4" customHeight="1" x14ac:dyDescent="0.3"/>
    <row r="1265" s="88" customFormat="1" ht="14.4" customHeight="1" x14ac:dyDescent="0.3"/>
    <row r="1266" s="88" customFormat="1" ht="14.4" customHeight="1" x14ac:dyDescent="0.3"/>
    <row r="1267" s="88" customFormat="1" ht="14.4" customHeight="1" x14ac:dyDescent="0.3"/>
    <row r="1268" s="88" customFormat="1" ht="14.4" customHeight="1" x14ac:dyDescent="0.3"/>
    <row r="1269" s="88" customFormat="1" ht="14.4" customHeight="1" x14ac:dyDescent="0.3"/>
    <row r="1270" s="88" customFormat="1" ht="14.4" customHeight="1" x14ac:dyDescent="0.3"/>
    <row r="1271" s="88" customFormat="1" ht="14.4" customHeight="1" x14ac:dyDescent="0.3"/>
    <row r="1272" s="88" customFormat="1" ht="14.4" customHeight="1" x14ac:dyDescent="0.3"/>
    <row r="1273" s="88" customFormat="1" ht="14.4" customHeight="1" x14ac:dyDescent="0.3"/>
    <row r="1274" s="88" customFormat="1" ht="14.4" customHeight="1" x14ac:dyDescent="0.3"/>
    <row r="1275" s="88" customFormat="1" ht="14.4" customHeight="1" x14ac:dyDescent="0.3"/>
    <row r="1276" s="88" customFormat="1" ht="14.4" customHeight="1" x14ac:dyDescent="0.3"/>
    <row r="1277" s="88" customFormat="1" ht="14.4" customHeight="1" x14ac:dyDescent="0.3"/>
    <row r="1278" s="88" customFormat="1" ht="14.4" customHeight="1" x14ac:dyDescent="0.3"/>
    <row r="1279" s="88" customFormat="1" ht="14.4" customHeight="1" x14ac:dyDescent="0.3"/>
    <row r="1280" s="88" customFormat="1" ht="14.4" customHeight="1" x14ac:dyDescent="0.3"/>
    <row r="1281" s="88" customFormat="1" ht="14.4" customHeight="1" x14ac:dyDescent="0.3"/>
    <row r="1282" s="88" customFormat="1" ht="14.4" customHeight="1" x14ac:dyDescent="0.3"/>
    <row r="1283" s="88" customFormat="1" ht="14.4" customHeight="1" x14ac:dyDescent="0.3"/>
    <row r="1284" s="88" customFormat="1" ht="14.4" customHeight="1" x14ac:dyDescent="0.3"/>
    <row r="1285" s="88" customFormat="1" ht="14.4" customHeight="1" x14ac:dyDescent="0.3"/>
    <row r="1286" s="88" customFormat="1" ht="14.4" customHeight="1" x14ac:dyDescent="0.3"/>
    <row r="1287" s="88" customFormat="1" ht="14.4" customHeight="1" x14ac:dyDescent="0.3"/>
    <row r="1288" s="88" customFormat="1" ht="14.4" customHeight="1" x14ac:dyDescent="0.3"/>
    <row r="1289" s="88" customFormat="1" ht="14.4" customHeight="1" x14ac:dyDescent="0.3"/>
    <row r="1290" s="88" customFormat="1" ht="14.4" customHeight="1" x14ac:dyDescent="0.3"/>
    <row r="1291" s="88" customFormat="1" ht="14.4" customHeight="1" x14ac:dyDescent="0.3"/>
    <row r="1292" s="88" customFormat="1" ht="14.4" customHeight="1" x14ac:dyDescent="0.3"/>
    <row r="1293" s="88" customFormat="1" ht="14.4" customHeight="1" x14ac:dyDescent="0.3"/>
    <row r="1294" s="88" customFormat="1" ht="14.4" customHeight="1" x14ac:dyDescent="0.3"/>
    <row r="1295" s="88" customFormat="1" ht="14.4" customHeight="1" x14ac:dyDescent="0.3"/>
    <row r="1296" s="88" customFormat="1" ht="14.4" customHeight="1" x14ac:dyDescent="0.3"/>
    <row r="1297" s="88" customFormat="1" ht="14.4" customHeight="1" x14ac:dyDescent="0.3"/>
    <row r="1298" s="88" customFormat="1" ht="14.4" customHeight="1" x14ac:dyDescent="0.3"/>
    <row r="1299" s="88" customFormat="1" ht="14.4" customHeight="1" x14ac:dyDescent="0.3"/>
    <row r="1300" s="88" customFormat="1" ht="14.4" customHeight="1" x14ac:dyDescent="0.3"/>
    <row r="1301" s="88" customFormat="1" ht="14.4" customHeight="1" x14ac:dyDescent="0.3"/>
    <row r="1302" s="88" customFormat="1" ht="14.4" customHeight="1" x14ac:dyDescent="0.3"/>
    <row r="1303" s="88" customFormat="1" ht="14.4" customHeight="1" x14ac:dyDescent="0.3"/>
    <row r="1304" s="88" customFormat="1" ht="14.4" customHeight="1" x14ac:dyDescent="0.3"/>
    <row r="1305" s="88" customFormat="1" ht="14.4" customHeight="1" x14ac:dyDescent="0.3"/>
    <row r="1306" s="88" customFormat="1" ht="14.4" customHeight="1" x14ac:dyDescent="0.3"/>
    <row r="1307" s="88" customFormat="1" ht="14.4" customHeight="1" x14ac:dyDescent="0.3"/>
    <row r="1308" s="88" customFormat="1" ht="14.4" customHeight="1" x14ac:dyDescent="0.3"/>
    <row r="1309" s="88" customFormat="1" ht="14.4" customHeight="1" x14ac:dyDescent="0.3"/>
    <row r="1310" s="88" customFormat="1" ht="14.4" customHeight="1" x14ac:dyDescent="0.3"/>
    <row r="1311" s="88" customFormat="1" ht="14.4" customHeight="1" x14ac:dyDescent="0.3"/>
    <row r="1312" s="88" customFormat="1" ht="14.4" customHeight="1" x14ac:dyDescent="0.3"/>
    <row r="1313" s="88" customFormat="1" ht="14.4" customHeight="1" x14ac:dyDescent="0.3"/>
    <row r="1314" s="88" customFormat="1" ht="14.4" customHeight="1" x14ac:dyDescent="0.3"/>
    <row r="1315" s="88" customFormat="1" ht="14.4" customHeight="1" x14ac:dyDescent="0.3"/>
    <row r="1316" s="88" customFormat="1" ht="14.4" customHeight="1" x14ac:dyDescent="0.3"/>
    <row r="1317" s="88" customFormat="1" ht="14.4" customHeight="1" x14ac:dyDescent="0.3"/>
    <row r="1318" s="88" customFormat="1" ht="14.4" customHeight="1" x14ac:dyDescent="0.3"/>
    <row r="1319" s="88" customFormat="1" ht="14.4" customHeight="1" x14ac:dyDescent="0.3"/>
    <row r="1320" s="88" customFormat="1" ht="14.4" customHeight="1" x14ac:dyDescent="0.3"/>
    <row r="1321" s="88" customFormat="1" ht="14.4" customHeight="1" x14ac:dyDescent="0.3"/>
    <row r="1322" s="88" customFormat="1" ht="14.4" customHeight="1" x14ac:dyDescent="0.3"/>
    <row r="1323" s="88" customFormat="1" ht="14.4" customHeight="1" x14ac:dyDescent="0.3"/>
    <row r="1324" s="88" customFormat="1" ht="14.4" customHeight="1" x14ac:dyDescent="0.3"/>
    <row r="1325" s="88" customFormat="1" ht="14.4" customHeight="1" x14ac:dyDescent="0.3"/>
    <row r="1326" s="88" customFormat="1" ht="14.4" customHeight="1" x14ac:dyDescent="0.3"/>
    <row r="1327" s="88" customFormat="1" ht="14.4" customHeight="1" x14ac:dyDescent="0.3"/>
    <row r="1328" s="88" customFormat="1" ht="14.4" customHeight="1" x14ac:dyDescent="0.3"/>
    <row r="1329" s="88" customFormat="1" ht="14.4" customHeight="1" x14ac:dyDescent="0.3"/>
    <row r="1330" s="88" customFormat="1" ht="14.4" customHeight="1" x14ac:dyDescent="0.3"/>
    <row r="1331" s="88" customFormat="1" ht="14.4" customHeight="1" x14ac:dyDescent="0.3"/>
    <row r="1332" s="88" customFormat="1" ht="14.4" customHeight="1" x14ac:dyDescent="0.3"/>
    <row r="1333" s="88" customFormat="1" ht="14.4" customHeight="1" x14ac:dyDescent="0.3"/>
    <row r="1334" s="88" customFormat="1" ht="14.4" customHeight="1" x14ac:dyDescent="0.3"/>
    <row r="1335" s="88" customFormat="1" ht="14.4" customHeight="1" x14ac:dyDescent="0.3"/>
    <row r="1336" s="88" customFormat="1" ht="14.4" customHeight="1" x14ac:dyDescent="0.3"/>
    <row r="1337" s="88" customFormat="1" ht="14.4" customHeight="1" x14ac:dyDescent="0.3"/>
    <row r="1338" s="88" customFormat="1" ht="14.4" customHeight="1" x14ac:dyDescent="0.3"/>
    <row r="1339" s="88" customFormat="1" ht="14.4" customHeight="1" x14ac:dyDescent="0.3"/>
    <row r="1340" s="88" customFormat="1" ht="14.4" customHeight="1" x14ac:dyDescent="0.3"/>
    <row r="1341" s="88" customFormat="1" ht="14.4" customHeight="1" x14ac:dyDescent="0.3"/>
    <row r="1342" s="88" customFormat="1" ht="14.4" customHeight="1" x14ac:dyDescent="0.3"/>
    <row r="1343" s="88" customFormat="1" ht="14.4" customHeight="1" x14ac:dyDescent="0.3"/>
    <row r="1344" s="88" customFormat="1" ht="14.4" customHeight="1" x14ac:dyDescent="0.3"/>
    <row r="1345" s="88" customFormat="1" ht="14.4" customHeight="1" x14ac:dyDescent="0.3"/>
    <row r="1346" s="88" customFormat="1" ht="14.4" customHeight="1" x14ac:dyDescent="0.3"/>
    <row r="1347" s="88" customFormat="1" ht="14.4" customHeight="1" x14ac:dyDescent="0.3"/>
    <row r="1348" s="88" customFormat="1" ht="14.4" customHeight="1" x14ac:dyDescent="0.3"/>
    <row r="1349" s="88" customFormat="1" ht="14.4" customHeight="1" x14ac:dyDescent="0.3"/>
    <row r="1350" s="88" customFormat="1" ht="14.4" customHeight="1" x14ac:dyDescent="0.3"/>
    <row r="1351" s="88" customFormat="1" ht="14.4" customHeight="1" x14ac:dyDescent="0.3"/>
    <row r="1352" s="88" customFormat="1" ht="14.4" customHeight="1" x14ac:dyDescent="0.3"/>
    <row r="1353" s="88" customFormat="1" ht="14.4" customHeight="1" x14ac:dyDescent="0.3"/>
    <row r="1354" s="88" customFormat="1" ht="14.4" customHeight="1" x14ac:dyDescent="0.3"/>
    <row r="1355" s="88" customFormat="1" ht="14.4" customHeight="1" x14ac:dyDescent="0.3"/>
    <row r="1356" s="88" customFormat="1" ht="14.4" customHeight="1" x14ac:dyDescent="0.3"/>
    <row r="1357" s="88" customFormat="1" ht="14.4" customHeight="1" x14ac:dyDescent="0.3"/>
    <row r="1358" s="88" customFormat="1" ht="14.4" customHeight="1" x14ac:dyDescent="0.3"/>
    <row r="1359" s="88" customFormat="1" ht="14.4" customHeight="1" x14ac:dyDescent="0.3"/>
    <row r="1360" s="88" customFormat="1" ht="14.4" customHeight="1" x14ac:dyDescent="0.3"/>
    <row r="1361" s="88" customFormat="1" ht="14.4" customHeight="1" x14ac:dyDescent="0.3"/>
    <row r="1362" s="88" customFormat="1" ht="14.4" customHeight="1" x14ac:dyDescent="0.3"/>
    <row r="1363" s="88" customFormat="1" ht="14.4" customHeight="1" x14ac:dyDescent="0.3"/>
    <row r="1364" s="88" customFormat="1" ht="14.4" customHeight="1" x14ac:dyDescent="0.3"/>
    <row r="1365" s="88" customFormat="1" ht="14.4" customHeight="1" x14ac:dyDescent="0.3"/>
    <row r="1366" s="88" customFormat="1" ht="14.4" customHeight="1" x14ac:dyDescent="0.3"/>
    <row r="1367" s="88" customFormat="1" ht="14.4" customHeight="1" x14ac:dyDescent="0.3"/>
    <row r="1368" s="88" customFormat="1" ht="14.4" customHeight="1" x14ac:dyDescent="0.3"/>
    <row r="1369" s="88" customFormat="1" ht="14.4" customHeight="1" x14ac:dyDescent="0.3"/>
    <row r="1370" s="88" customFormat="1" ht="14.4" customHeight="1" x14ac:dyDescent="0.3"/>
    <row r="1371" s="88" customFormat="1" ht="14.4" customHeight="1" x14ac:dyDescent="0.3"/>
    <row r="1372" s="88" customFormat="1" ht="14.4" customHeight="1" x14ac:dyDescent="0.3"/>
    <row r="1373" s="88" customFormat="1" ht="14.4" customHeight="1" x14ac:dyDescent="0.3"/>
    <row r="1374" s="88" customFormat="1" ht="14.4" customHeight="1" x14ac:dyDescent="0.3"/>
    <row r="1375" s="88" customFormat="1" ht="14.4" customHeight="1" x14ac:dyDescent="0.3"/>
    <row r="1376" s="88" customFormat="1" ht="14.4" customHeight="1" x14ac:dyDescent="0.3"/>
    <row r="1377" s="88" customFormat="1" ht="14.4" customHeight="1" x14ac:dyDescent="0.3"/>
    <row r="1378" s="88" customFormat="1" ht="14.4" customHeight="1" x14ac:dyDescent="0.3"/>
    <row r="1379" s="88" customFormat="1" ht="14.4" customHeight="1" x14ac:dyDescent="0.3"/>
    <row r="1380" s="88" customFormat="1" ht="14.4" customHeight="1" x14ac:dyDescent="0.3"/>
    <row r="1381" s="88" customFormat="1" ht="14.4" customHeight="1" x14ac:dyDescent="0.3"/>
    <row r="1382" s="88" customFormat="1" ht="14.4" customHeight="1" x14ac:dyDescent="0.3"/>
    <row r="1383" s="88" customFormat="1" ht="14.4" customHeight="1" x14ac:dyDescent="0.3"/>
    <row r="1384" s="88" customFormat="1" ht="14.4" customHeight="1" x14ac:dyDescent="0.3"/>
    <row r="1385" s="88" customFormat="1" ht="14.4" customHeight="1" x14ac:dyDescent="0.3"/>
    <row r="1386" s="88" customFormat="1" ht="14.4" customHeight="1" x14ac:dyDescent="0.3"/>
    <row r="1387" s="88" customFormat="1" ht="14.4" customHeight="1" x14ac:dyDescent="0.3"/>
    <row r="1388" s="88" customFormat="1" ht="14.4" customHeight="1" x14ac:dyDescent="0.3"/>
    <row r="1389" s="88" customFormat="1" ht="14.4" customHeight="1" x14ac:dyDescent="0.3"/>
    <row r="1390" s="88" customFormat="1" ht="14.4" customHeight="1" x14ac:dyDescent="0.3"/>
    <row r="1391" s="88" customFormat="1" ht="14.4" customHeight="1" x14ac:dyDescent="0.3"/>
    <row r="1392" s="88" customFormat="1" ht="14.4" customHeight="1" x14ac:dyDescent="0.3"/>
    <row r="1393" s="88" customFormat="1" ht="14.4" customHeight="1" x14ac:dyDescent="0.3"/>
    <row r="1394" s="88" customFormat="1" ht="14.4" customHeight="1" x14ac:dyDescent="0.3"/>
    <row r="1395" s="88" customFormat="1" ht="14.4" customHeight="1" x14ac:dyDescent="0.3"/>
    <row r="1396" s="88" customFormat="1" ht="14.4" customHeight="1" x14ac:dyDescent="0.3"/>
    <row r="1397" s="88" customFormat="1" ht="14.4" customHeight="1" x14ac:dyDescent="0.3"/>
    <row r="1398" s="88" customFormat="1" ht="14.4" customHeight="1" x14ac:dyDescent="0.3"/>
    <row r="1399" s="88" customFormat="1" ht="14.4" customHeight="1" x14ac:dyDescent="0.3"/>
    <row r="1400" s="88" customFormat="1" ht="14.4" customHeight="1" x14ac:dyDescent="0.3"/>
    <row r="1401" s="88" customFormat="1" ht="14.4" customHeight="1" x14ac:dyDescent="0.3"/>
    <row r="1402" s="88" customFormat="1" ht="14.4" customHeight="1" x14ac:dyDescent="0.3"/>
    <row r="1403" s="88" customFormat="1" ht="14.4" customHeight="1" x14ac:dyDescent="0.3"/>
    <row r="1404" s="88" customFormat="1" ht="14.4" customHeight="1" x14ac:dyDescent="0.3"/>
    <row r="1405" s="88" customFormat="1" ht="14.4" customHeight="1" x14ac:dyDescent="0.3"/>
    <row r="1406" s="88" customFormat="1" ht="14.4" customHeight="1" x14ac:dyDescent="0.3"/>
    <row r="1407" s="88" customFormat="1" ht="14.4" customHeight="1" x14ac:dyDescent="0.3"/>
    <row r="1408" s="88" customFormat="1" ht="14.4" customHeight="1" x14ac:dyDescent="0.3"/>
    <row r="1409" s="88" customFormat="1" ht="14.4" customHeight="1" x14ac:dyDescent="0.3"/>
    <row r="1410" s="88" customFormat="1" ht="14.4" customHeight="1" x14ac:dyDescent="0.3"/>
    <row r="1411" s="88" customFormat="1" ht="14.4" customHeight="1" x14ac:dyDescent="0.3"/>
    <row r="1412" s="88" customFormat="1" ht="14.4" customHeight="1" x14ac:dyDescent="0.3"/>
    <row r="1413" s="88" customFormat="1" ht="14.4" customHeight="1" x14ac:dyDescent="0.3"/>
    <row r="1414" s="88" customFormat="1" ht="14.4" customHeight="1" x14ac:dyDescent="0.3"/>
    <row r="1415" s="88" customFormat="1" ht="14.4" customHeight="1" x14ac:dyDescent="0.3"/>
    <row r="1416" s="88" customFormat="1" ht="14.4" customHeight="1" x14ac:dyDescent="0.3"/>
    <row r="1417" s="88" customFormat="1" ht="14.4" customHeight="1" x14ac:dyDescent="0.3"/>
    <row r="1418" s="88" customFormat="1" ht="14.4" customHeight="1" x14ac:dyDescent="0.3"/>
    <row r="1419" s="88" customFormat="1" ht="14.4" customHeight="1" x14ac:dyDescent="0.3"/>
    <row r="1420" s="88" customFormat="1" ht="14.4" customHeight="1" x14ac:dyDescent="0.3"/>
    <row r="1421" s="88" customFormat="1" ht="14.4" customHeight="1" x14ac:dyDescent="0.3"/>
    <row r="1422" s="88" customFormat="1" ht="14.4" customHeight="1" x14ac:dyDescent="0.3"/>
    <row r="1423" s="88" customFormat="1" ht="14.4" customHeight="1" x14ac:dyDescent="0.3"/>
    <row r="1424" s="88" customFormat="1" ht="14.4" customHeight="1" x14ac:dyDescent="0.3"/>
    <row r="1425" s="88" customFormat="1" ht="14.4" customHeight="1" x14ac:dyDescent="0.3"/>
    <row r="1426" s="88" customFormat="1" ht="14.4" customHeight="1" x14ac:dyDescent="0.3"/>
    <row r="1427" s="88" customFormat="1" ht="14.4" customHeight="1" x14ac:dyDescent="0.3"/>
    <row r="1428" s="88" customFormat="1" ht="14.4" customHeight="1" x14ac:dyDescent="0.3"/>
    <row r="1429" s="88" customFormat="1" ht="14.4" customHeight="1" x14ac:dyDescent="0.3"/>
    <row r="1430" s="88" customFormat="1" ht="14.4" customHeight="1" x14ac:dyDescent="0.3"/>
    <row r="1431" s="88" customFormat="1" ht="14.4" customHeight="1" x14ac:dyDescent="0.3"/>
    <row r="1432" s="88" customFormat="1" ht="14.4" customHeight="1" x14ac:dyDescent="0.3"/>
    <row r="1433" s="88" customFormat="1" ht="14.4" customHeight="1" x14ac:dyDescent="0.3"/>
    <row r="1434" s="88" customFormat="1" ht="14.4" customHeight="1" x14ac:dyDescent="0.3"/>
    <row r="1435" s="88" customFormat="1" ht="14.4" customHeight="1" x14ac:dyDescent="0.3"/>
    <row r="1436" s="88" customFormat="1" ht="14.4" customHeight="1" x14ac:dyDescent="0.3"/>
    <row r="1437" s="88" customFormat="1" ht="14.4" customHeight="1" x14ac:dyDescent="0.3"/>
    <row r="1438" s="88" customFormat="1" ht="14.4" customHeight="1" x14ac:dyDescent="0.3"/>
    <row r="1439" s="88" customFormat="1" ht="14.4" customHeight="1" x14ac:dyDescent="0.3"/>
    <row r="1440" s="88" customFormat="1" ht="14.4" customHeight="1" x14ac:dyDescent="0.3"/>
    <row r="1441" s="88" customFormat="1" ht="14.4" customHeight="1" x14ac:dyDescent="0.3"/>
    <row r="1442" s="88" customFormat="1" ht="14.4" customHeight="1" x14ac:dyDescent="0.3"/>
    <row r="1443" s="88" customFormat="1" ht="14.4" customHeight="1" x14ac:dyDescent="0.3"/>
    <row r="1444" s="88" customFormat="1" ht="14.4" customHeight="1" x14ac:dyDescent="0.3"/>
    <row r="1445" s="88" customFormat="1" ht="14.4" customHeight="1" x14ac:dyDescent="0.3"/>
    <row r="1446" s="88" customFormat="1" ht="14.4" customHeight="1" x14ac:dyDescent="0.3"/>
    <row r="1447" s="88" customFormat="1" ht="14.4" customHeight="1" x14ac:dyDescent="0.3"/>
    <row r="1448" s="88" customFormat="1" ht="14.4" customHeight="1" x14ac:dyDescent="0.3"/>
    <row r="1449" s="88" customFormat="1" ht="14.4" customHeight="1" x14ac:dyDescent="0.3"/>
    <row r="1450" s="88" customFormat="1" ht="14.4" customHeight="1" x14ac:dyDescent="0.3"/>
    <row r="1451" s="88" customFormat="1" ht="14.4" customHeight="1" x14ac:dyDescent="0.3"/>
    <row r="1452" s="88" customFormat="1" ht="14.4" customHeight="1" x14ac:dyDescent="0.3"/>
    <row r="1453" s="88" customFormat="1" ht="14.4" customHeight="1" x14ac:dyDescent="0.3"/>
    <row r="1454" s="88" customFormat="1" ht="14.4" customHeight="1" x14ac:dyDescent="0.3"/>
    <row r="1455" s="88" customFormat="1" ht="14.4" customHeight="1" x14ac:dyDescent="0.3"/>
    <row r="1456" s="88" customFormat="1" ht="14.4" customHeight="1" x14ac:dyDescent="0.3"/>
    <row r="1457" s="88" customFormat="1" ht="14.4" customHeight="1" x14ac:dyDescent="0.3"/>
    <row r="1458" s="88" customFormat="1" ht="14.4" customHeight="1" x14ac:dyDescent="0.3"/>
    <row r="1459" s="88" customFormat="1" ht="14.4" customHeight="1" x14ac:dyDescent="0.3"/>
    <row r="1460" s="88" customFormat="1" ht="14.4" customHeight="1" x14ac:dyDescent="0.3"/>
    <row r="1461" s="88" customFormat="1" ht="14.4" customHeight="1" x14ac:dyDescent="0.3"/>
    <row r="1462" s="88" customFormat="1" ht="14.4" customHeight="1" x14ac:dyDescent="0.3"/>
    <row r="1463" s="88" customFormat="1" ht="14.4" customHeight="1" x14ac:dyDescent="0.3"/>
    <row r="1464" s="88" customFormat="1" ht="14.4" customHeight="1" x14ac:dyDescent="0.3"/>
    <row r="1465" s="88" customFormat="1" ht="14.4" customHeight="1" x14ac:dyDescent="0.3"/>
    <row r="1466" s="88" customFormat="1" ht="14.4" customHeight="1" x14ac:dyDescent="0.3"/>
    <row r="1467" s="88" customFormat="1" ht="14.4" customHeight="1" x14ac:dyDescent="0.3"/>
    <row r="1468" s="88" customFormat="1" ht="14.4" customHeight="1" x14ac:dyDescent="0.3"/>
    <row r="1469" s="88" customFormat="1" ht="14.4" customHeight="1" x14ac:dyDescent="0.3"/>
    <row r="1470" s="88" customFormat="1" ht="14.4" customHeight="1" x14ac:dyDescent="0.3"/>
    <row r="1471" s="88" customFormat="1" ht="14.4" customHeight="1" x14ac:dyDescent="0.3"/>
    <row r="1472" s="88" customFormat="1" ht="14.4" customHeight="1" x14ac:dyDescent="0.3"/>
    <row r="1473" s="88" customFormat="1" ht="14.4" customHeight="1" x14ac:dyDescent="0.3"/>
    <row r="1474" s="88" customFormat="1" ht="14.4" customHeight="1" x14ac:dyDescent="0.3"/>
    <row r="1475" s="88" customFormat="1" ht="14.4" customHeight="1" x14ac:dyDescent="0.3"/>
    <row r="1476" s="88" customFormat="1" ht="14.4" customHeight="1" x14ac:dyDescent="0.3"/>
    <row r="1477" s="88" customFormat="1" ht="14.4" customHeight="1" x14ac:dyDescent="0.3"/>
    <row r="1478" s="88" customFormat="1" ht="14.4" customHeight="1" x14ac:dyDescent="0.3"/>
    <row r="1479" s="88" customFormat="1" ht="14.4" customHeight="1" x14ac:dyDescent="0.3"/>
    <row r="1480" s="88" customFormat="1" ht="14.4" customHeight="1" x14ac:dyDescent="0.3"/>
    <row r="1481" s="88" customFormat="1" ht="14.4" customHeight="1" x14ac:dyDescent="0.3"/>
    <row r="1482" s="88" customFormat="1" ht="14.4" customHeight="1" x14ac:dyDescent="0.3"/>
    <row r="1483" s="88" customFormat="1" ht="14.4" customHeight="1" x14ac:dyDescent="0.3"/>
    <row r="1484" s="88" customFormat="1" ht="14.4" customHeight="1" x14ac:dyDescent="0.3"/>
    <row r="1485" s="88" customFormat="1" ht="14.4" customHeight="1" x14ac:dyDescent="0.3"/>
    <row r="1486" s="88" customFormat="1" ht="14.4" customHeight="1" x14ac:dyDescent="0.3"/>
    <row r="1487" s="88" customFormat="1" ht="14.4" customHeight="1" x14ac:dyDescent="0.3"/>
    <row r="1488" s="88" customFormat="1" ht="14.4" customHeight="1" x14ac:dyDescent="0.3"/>
    <row r="1489" s="88" customFormat="1" ht="14.4" customHeight="1" x14ac:dyDescent="0.3"/>
    <row r="1490" s="88" customFormat="1" ht="14.4" customHeight="1" x14ac:dyDescent="0.3"/>
    <row r="1491" s="88" customFormat="1" ht="14.4" customHeight="1" x14ac:dyDescent="0.3"/>
    <row r="1492" s="88" customFormat="1" ht="14.4" customHeight="1" x14ac:dyDescent="0.3"/>
    <row r="1493" s="88" customFormat="1" ht="14.4" customHeight="1" x14ac:dyDescent="0.3"/>
    <row r="1494" s="88" customFormat="1" ht="14.4" customHeight="1" x14ac:dyDescent="0.3"/>
    <row r="1495" s="88" customFormat="1" ht="14.4" customHeight="1" x14ac:dyDescent="0.3"/>
    <row r="1496" s="88" customFormat="1" ht="14.4" customHeight="1" x14ac:dyDescent="0.3"/>
    <row r="1497" s="88" customFormat="1" ht="14.4" customHeight="1" x14ac:dyDescent="0.3"/>
    <row r="1498" s="88" customFormat="1" ht="14.4" customHeight="1" x14ac:dyDescent="0.3"/>
    <row r="1499" s="88" customFormat="1" ht="14.4" customHeight="1" x14ac:dyDescent="0.3"/>
    <row r="1500" s="88" customFormat="1" ht="14.4" customHeight="1" x14ac:dyDescent="0.3"/>
    <row r="1501" s="88" customFormat="1" ht="14.4" customHeight="1" x14ac:dyDescent="0.3"/>
    <row r="1502" s="88" customFormat="1" ht="14.4" customHeight="1" x14ac:dyDescent="0.3"/>
    <row r="1503" s="88" customFormat="1" ht="14.4" customHeight="1" x14ac:dyDescent="0.3"/>
    <row r="1504" s="88" customFormat="1" ht="14.4" customHeight="1" x14ac:dyDescent="0.3"/>
    <row r="1505" s="88" customFormat="1" ht="14.4" customHeight="1" x14ac:dyDescent="0.3"/>
    <row r="1506" s="88" customFormat="1" ht="14.4" customHeight="1" x14ac:dyDescent="0.3"/>
    <row r="1507" s="88" customFormat="1" ht="14.4" customHeight="1" x14ac:dyDescent="0.3"/>
    <row r="1508" s="88" customFormat="1" ht="14.4" customHeight="1" x14ac:dyDescent="0.3"/>
    <row r="1509" s="88" customFormat="1" ht="14.4" customHeight="1" x14ac:dyDescent="0.3"/>
    <row r="1510" s="88" customFormat="1" ht="14.4" customHeight="1" x14ac:dyDescent="0.3"/>
    <row r="1511" s="88" customFormat="1" ht="14.4" customHeight="1" x14ac:dyDescent="0.3"/>
    <row r="1512" s="88" customFormat="1" ht="14.4" customHeight="1" x14ac:dyDescent="0.3"/>
    <row r="1513" s="88" customFormat="1" ht="14.4" customHeight="1" x14ac:dyDescent="0.3"/>
    <row r="1514" s="88" customFormat="1" ht="14.4" customHeight="1" x14ac:dyDescent="0.3"/>
    <row r="1515" s="88" customFormat="1" ht="14.4" customHeight="1" x14ac:dyDescent="0.3"/>
    <row r="1516" s="88" customFormat="1" ht="14.4" customHeight="1" x14ac:dyDescent="0.3"/>
    <row r="1517" s="88" customFormat="1" ht="14.4" customHeight="1" x14ac:dyDescent="0.3"/>
    <row r="1518" s="88" customFormat="1" ht="14.4" customHeight="1" x14ac:dyDescent="0.3"/>
    <row r="1519" s="88" customFormat="1" ht="14.4" customHeight="1" x14ac:dyDescent="0.3"/>
    <row r="1520" s="88" customFormat="1" ht="14.4" customHeight="1" x14ac:dyDescent="0.3"/>
    <row r="1521" s="88" customFormat="1" ht="14.4" customHeight="1" x14ac:dyDescent="0.3"/>
    <row r="1522" s="88" customFormat="1" ht="14.4" customHeight="1" x14ac:dyDescent="0.3"/>
    <row r="1523" s="88" customFormat="1" ht="14.4" customHeight="1" x14ac:dyDescent="0.3"/>
    <row r="1524" s="88" customFormat="1" ht="14.4" customHeight="1" x14ac:dyDescent="0.3"/>
    <row r="1525" s="88" customFormat="1" ht="14.4" customHeight="1" x14ac:dyDescent="0.3"/>
    <row r="1526" s="88" customFormat="1" ht="14.4" customHeight="1" x14ac:dyDescent="0.3"/>
    <row r="1527" s="88" customFormat="1" ht="14.4" customHeight="1" x14ac:dyDescent="0.3"/>
    <row r="1528" s="88" customFormat="1" ht="14.4" customHeight="1" x14ac:dyDescent="0.3"/>
    <row r="1529" s="88" customFormat="1" ht="14.4" customHeight="1" x14ac:dyDescent="0.3"/>
    <row r="1530" s="88" customFormat="1" ht="14.4" customHeight="1" x14ac:dyDescent="0.3"/>
    <row r="1531" s="88" customFormat="1" ht="14.4" customHeight="1" x14ac:dyDescent="0.3"/>
    <row r="1532" s="88" customFormat="1" ht="14.4" customHeight="1" x14ac:dyDescent="0.3"/>
    <row r="1533" s="88" customFormat="1" ht="14.4" customHeight="1" x14ac:dyDescent="0.3"/>
    <row r="1534" s="88" customFormat="1" ht="14.4" customHeight="1" x14ac:dyDescent="0.3"/>
    <row r="1535" s="88" customFormat="1" ht="14.4" customHeight="1" x14ac:dyDescent="0.3"/>
    <row r="1536" s="88" customFormat="1" ht="14.4" customHeight="1" x14ac:dyDescent="0.3"/>
    <row r="1537" s="88" customFormat="1" ht="14.4" customHeight="1" x14ac:dyDescent="0.3"/>
    <row r="1538" s="88" customFormat="1" ht="14.4" customHeight="1" x14ac:dyDescent="0.3"/>
    <row r="1539" s="88" customFormat="1" ht="14.4" customHeight="1" x14ac:dyDescent="0.3"/>
    <row r="1540" s="88" customFormat="1" ht="14.4" customHeight="1" x14ac:dyDescent="0.3"/>
    <row r="1541" s="88" customFormat="1" ht="14.4" customHeight="1" x14ac:dyDescent="0.3"/>
    <row r="1542" s="88" customFormat="1" ht="14.4" customHeight="1" x14ac:dyDescent="0.3"/>
    <row r="1543" s="88" customFormat="1" ht="14.4" customHeight="1" x14ac:dyDescent="0.3"/>
    <row r="1544" s="88" customFormat="1" ht="14.4" customHeight="1" x14ac:dyDescent="0.3"/>
    <row r="1545" s="88" customFormat="1" ht="14.4" customHeight="1" x14ac:dyDescent="0.3"/>
    <row r="1546" s="88" customFormat="1" ht="14.4" customHeight="1" x14ac:dyDescent="0.3"/>
    <row r="1547" s="88" customFormat="1" ht="14.4" customHeight="1" x14ac:dyDescent="0.3"/>
    <row r="1548" s="88" customFormat="1" ht="14.4" customHeight="1" x14ac:dyDescent="0.3"/>
    <row r="1549" s="88" customFormat="1" ht="14.4" customHeight="1" x14ac:dyDescent="0.3"/>
    <row r="1550" s="88" customFormat="1" ht="14.4" customHeight="1" x14ac:dyDescent="0.3"/>
    <row r="1551" s="88" customFormat="1" ht="14.4" customHeight="1" x14ac:dyDescent="0.3"/>
    <row r="1552" s="88" customFormat="1" ht="14.4" customHeight="1" x14ac:dyDescent="0.3"/>
    <row r="1553" s="88" customFormat="1" ht="14.4" customHeight="1" x14ac:dyDescent="0.3"/>
    <row r="1554" s="88" customFormat="1" ht="14.4" customHeight="1" x14ac:dyDescent="0.3"/>
    <row r="1555" s="88" customFormat="1" ht="14.4" customHeight="1" x14ac:dyDescent="0.3"/>
    <row r="1556" s="88" customFormat="1" ht="14.4" customHeight="1" x14ac:dyDescent="0.3"/>
    <row r="1557" s="88" customFormat="1" ht="14.4" customHeight="1" x14ac:dyDescent="0.3"/>
    <row r="1558" s="88" customFormat="1" ht="14.4" customHeight="1" x14ac:dyDescent="0.3"/>
    <row r="1559" s="88" customFormat="1" ht="14.4" customHeight="1" x14ac:dyDescent="0.3"/>
    <row r="1560" s="88" customFormat="1" ht="14.4" customHeight="1" x14ac:dyDescent="0.3"/>
    <row r="1561" s="88" customFormat="1" ht="14.4" customHeight="1" x14ac:dyDescent="0.3"/>
    <row r="1562" s="88" customFormat="1" ht="14.4" customHeight="1" x14ac:dyDescent="0.3"/>
    <row r="1563" s="88" customFormat="1" ht="14.4" customHeight="1" x14ac:dyDescent="0.3"/>
    <row r="1564" s="88" customFormat="1" ht="14.4" customHeight="1" x14ac:dyDescent="0.3"/>
    <row r="1565" s="88" customFormat="1" ht="14.4" customHeight="1" x14ac:dyDescent="0.3"/>
    <row r="1566" s="88" customFormat="1" ht="14.4" customHeight="1" x14ac:dyDescent="0.3"/>
    <row r="1567" s="88" customFormat="1" ht="14.4" customHeight="1" x14ac:dyDescent="0.3"/>
    <row r="1568" s="88" customFormat="1" ht="14.4" customHeight="1" x14ac:dyDescent="0.3"/>
    <row r="1569" s="88" customFormat="1" ht="14.4" customHeight="1" x14ac:dyDescent="0.3"/>
    <row r="1570" s="88" customFormat="1" ht="14.4" customHeight="1" x14ac:dyDescent="0.3"/>
    <row r="1571" s="88" customFormat="1" ht="14.4" customHeight="1" x14ac:dyDescent="0.3"/>
    <row r="1572" s="88" customFormat="1" ht="14.4" customHeight="1" x14ac:dyDescent="0.3"/>
    <row r="1573" s="88" customFormat="1" ht="14.4" customHeight="1" x14ac:dyDescent="0.3"/>
    <row r="1574" s="88" customFormat="1" ht="14.4" customHeight="1" x14ac:dyDescent="0.3"/>
    <row r="1575" s="88" customFormat="1" ht="14.4" customHeight="1" x14ac:dyDescent="0.3"/>
    <row r="1576" s="88" customFormat="1" ht="14.4" customHeight="1" x14ac:dyDescent="0.3"/>
    <row r="1577" s="88" customFormat="1" ht="14.4" customHeight="1" x14ac:dyDescent="0.3"/>
    <row r="1578" s="88" customFormat="1" ht="14.4" customHeight="1" x14ac:dyDescent="0.3"/>
    <row r="1579" s="88" customFormat="1" ht="14.4" customHeight="1" x14ac:dyDescent="0.3"/>
    <row r="1580" s="88" customFormat="1" ht="14.4" customHeight="1" x14ac:dyDescent="0.3"/>
    <row r="1581" s="88" customFormat="1" ht="14.4" customHeight="1" x14ac:dyDescent="0.3"/>
    <row r="1582" s="88" customFormat="1" ht="14.4" customHeight="1" x14ac:dyDescent="0.3"/>
    <row r="1583" s="88" customFormat="1" ht="14.4" customHeight="1" x14ac:dyDescent="0.3"/>
    <row r="1584" s="88" customFormat="1" ht="14.4" customHeight="1" x14ac:dyDescent="0.3"/>
    <row r="1585" s="88" customFormat="1" ht="14.4" customHeight="1" x14ac:dyDescent="0.3"/>
    <row r="1586" s="88" customFormat="1" ht="14.4" customHeight="1" x14ac:dyDescent="0.3"/>
    <row r="1587" s="88" customFormat="1" ht="14.4" customHeight="1" x14ac:dyDescent="0.3"/>
    <row r="1588" s="88" customFormat="1" ht="14.4" customHeight="1" x14ac:dyDescent="0.3"/>
    <row r="1589" s="88" customFormat="1" ht="14.4" customHeight="1" x14ac:dyDescent="0.3"/>
    <row r="1590" s="88" customFormat="1" ht="14.4" customHeight="1" x14ac:dyDescent="0.3"/>
    <row r="1591" s="88" customFormat="1" ht="14.4" customHeight="1" x14ac:dyDescent="0.3"/>
    <row r="1592" s="88" customFormat="1" ht="14.4" customHeight="1" x14ac:dyDescent="0.3"/>
    <row r="1593" s="88" customFormat="1" ht="14.4" customHeight="1" x14ac:dyDescent="0.3"/>
    <row r="1594" s="88" customFormat="1" ht="14.4" customHeight="1" x14ac:dyDescent="0.3"/>
    <row r="1595" s="88" customFormat="1" ht="14.4" customHeight="1" x14ac:dyDescent="0.3"/>
    <row r="1596" s="88" customFormat="1" ht="14.4" customHeight="1" x14ac:dyDescent="0.3"/>
    <row r="1597" s="88" customFormat="1" ht="14.4" customHeight="1" x14ac:dyDescent="0.3"/>
    <row r="1598" s="88" customFormat="1" ht="14.4" customHeight="1" x14ac:dyDescent="0.3"/>
    <row r="1599" s="88" customFormat="1" ht="14.4" customHeight="1" x14ac:dyDescent="0.3"/>
    <row r="1600" s="88" customFormat="1" ht="14.4" customHeight="1" x14ac:dyDescent="0.3"/>
    <row r="1601" s="88" customFormat="1" ht="14.4" customHeight="1" x14ac:dyDescent="0.3"/>
    <row r="1602" s="88" customFormat="1" ht="14.4" customHeight="1" x14ac:dyDescent="0.3"/>
    <row r="1603" s="88" customFormat="1" ht="14.4" customHeight="1" x14ac:dyDescent="0.3"/>
    <row r="1604" s="88" customFormat="1" ht="14.4" customHeight="1" x14ac:dyDescent="0.3"/>
    <row r="1605" s="88" customFormat="1" ht="14.4" customHeight="1" x14ac:dyDescent="0.3"/>
    <row r="1606" s="88" customFormat="1" ht="14.4" customHeight="1" x14ac:dyDescent="0.3"/>
    <row r="1607" s="88" customFormat="1" ht="14.4" customHeight="1" x14ac:dyDescent="0.3"/>
    <row r="1608" s="88" customFormat="1" ht="14.4" customHeight="1" x14ac:dyDescent="0.3"/>
    <row r="1609" s="88" customFormat="1" ht="14.4" customHeight="1" x14ac:dyDescent="0.3"/>
    <row r="1610" s="88" customFormat="1" ht="14.4" customHeight="1" x14ac:dyDescent="0.3"/>
    <row r="1611" s="88" customFormat="1" ht="14.4" customHeight="1" x14ac:dyDescent="0.3"/>
    <row r="1612" s="88" customFormat="1" ht="14.4" customHeight="1" x14ac:dyDescent="0.3"/>
    <row r="1613" s="88" customFormat="1" ht="14.4" customHeight="1" x14ac:dyDescent="0.3"/>
    <row r="1614" s="88" customFormat="1" ht="14.4" customHeight="1" x14ac:dyDescent="0.3"/>
    <row r="1615" s="88" customFormat="1" ht="14.4" customHeight="1" x14ac:dyDescent="0.3"/>
    <row r="1616" s="88" customFormat="1" ht="14.4" customHeight="1" x14ac:dyDescent="0.3"/>
    <row r="1617" s="88" customFormat="1" ht="14.4" customHeight="1" x14ac:dyDescent="0.3"/>
    <row r="1618" s="88" customFormat="1" ht="14.4" customHeight="1" x14ac:dyDescent="0.3"/>
    <row r="1619" s="88" customFormat="1" ht="14.4" customHeight="1" x14ac:dyDescent="0.3"/>
    <row r="1620" s="88" customFormat="1" ht="14.4" customHeight="1" x14ac:dyDescent="0.3"/>
    <row r="1621" s="88" customFormat="1" ht="14.4" customHeight="1" x14ac:dyDescent="0.3"/>
    <row r="1622" s="88" customFormat="1" ht="14.4" customHeight="1" x14ac:dyDescent="0.3"/>
    <row r="1623" s="88" customFormat="1" ht="14.4" customHeight="1" x14ac:dyDescent="0.3"/>
    <row r="1624" s="88" customFormat="1" ht="14.4" customHeight="1" x14ac:dyDescent="0.3"/>
    <row r="1625" s="88" customFormat="1" ht="14.4" customHeight="1" x14ac:dyDescent="0.3"/>
    <row r="1626" s="88" customFormat="1" ht="14.4" customHeight="1" x14ac:dyDescent="0.3"/>
    <row r="1627" s="88" customFormat="1" ht="14.4" customHeight="1" x14ac:dyDescent="0.3"/>
    <row r="1628" s="88" customFormat="1" ht="14.4" customHeight="1" x14ac:dyDescent="0.3"/>
    <row r="1629" s="88" customFormat="1" ht="14.4" customHeight="1" x14ac:dyDescent="0.3"/>
    <row r="1630" s="88" customFormat="1" ht="14.4" customHeight="1" x14ac:dyDescent="0.3"/>
    <row r="1631" s="88" customFormat="1" ht="14.4" customHeight="1" x14ac:dyDescent="0.3"/>
    <row r="1632" s="88" customFormat="1" ht="14.4" customHeight="1" x14ac:dyDescent="0.3"/>
    <row r="1633" s="88" customFormat="1" ht="14.4" customHeight="1" x14ac:dyDescent="0.3"/>
    <row r="1634" s="88" customFormat="1" ht="14.4" customHeight="1" x14ac:dyDescent="0.3"/>
    <row r="1635" s="88" customFormat="1" ht="14.4" customHeight="1" x14ac:dyDescent="0.3"/>
    <row r="1636" s="88" customFormat="1" ht="14.4" customHeight="1" x14ac:dyDescent="0.3"/>
    <row r="1637" s="88" customFormat="1" ht="14.4" customHeight="1" x14ac:dyDescent="0.3"/>
    <row r="1638" s="88" customFormat="1" ht="14.4" customHeight="1" x14ac:dyDescent="0.3"/>
    <row r="1639" s="88" customFormat="1" ht="14.4" customHeight="1" x14ac:dyDescent="0.3"/>
    <row r="1640" s="88" customFormat="1" ht="14.4" customHeight="1" x14ac:dyDescent="0.3"/>
    <row r="1641" s="88" customFormat="1" ht="14.4" customHeight="1" x14ac:dyDescent="0.3"/>
    <row r="1642" s="88" customFormat="1" ht="14.4" customHeight="1" x14ac:dyDescent="0.3"/>
    <row r="1643" s="88" customFormat="1" ht="14.4" customHeight="1" x14ac:dyDescent="0.3"/>
    <row r="1644" s="88" customFormat="1" ht="14.4" customHeight="1" x14ac:dyDescent="0.3"/>
    <row r="1645" s="88" customFormat="1" ht="14.4" customHeight="1" x14ac:dyDescent="0.3"/>
    <row r="1646" s="88" customFormat="1" ht="14.4" customHeight="1" x14ac:dyDescent="0.3"/>
    <row r="1647" s="88" customFormat="1" ht="14.4" customHeight="1" x14ac:dyDescent="0.3"/>
    <row r="1648" s="88" customFormat="1" ht="14.4" customHeight="1" x14ac:dyDescent="0.3"/>
    <row r="1649" s="88" customFormat="1" ht="14.4" customHeight="1" x14ac:dyDescent="0.3"/>
    <row r="1650" s="88" customFormat="1" ht="14.4" customHeight="1" x14ac:dyDescent="0.3"/>
    <row r="1651" s="88" customFormat="1" ht="14.4" customHeight="1" x14ac:dyDescent="0.3"/>
    <row r="1652" s="88" customFormat="1" ht="14.4" customHeight="1" x14ac:dyDescent="0.3"/>
    <row r="1653" s="88" customFormat="1" ht="14.4" customHeight="1" x14ac:dyDescent="0.3"/>
    <row r="1654" s="88" customFormat="1" ht="14.4" customHeight="1" x14ac:dyDescent="0.3"/>
    <row r="1655" s="88" customFormat="1" ht="14.4" customHeight="1" x14ac:dyDescent="0.3"/>
    <row r="1656" s="88" customFormat="1" ht="14.4" customHeight="1" x14ac:dyDescent="0.3"/>
    <row r="1657" s="88" customFormat="1" ht="14.4" customHeight="1" x14ac:dyDescent="0.3"/>
    <row r="1658" s="88" customFormat="1" ht="14.4" customHeight="1" x14ac:dyDescent="0.3"/>
    <row r="1659" s="88" customFormat="1" ht="14.4" customHeight="1" x14ac:dyDescent="0.3"/>
    <row r="1660" s="88" customFormat="1" ht="14.4" customHeight="1" x14ac:dyDescent="0.3"/>
    <row r="1661" s="88" customFormat="1" ht="14.4" customHeight="1" x14ac:dyDescent="0.3"/>
    <row r="1662" s="88" customFormat="1" ht="14.4" customHeight="1" x14ac:dyDescent="0.3"/>
    <row r="1663" s="88" customFormat="1" ht="14.4" customHeight="1" x14ac:dyDescent="0.3"/>
    <row r="1664" s="88" customFormat="1" ht="14.4" customHeight="1" x14ac:dyDescent="0.3"/>
    <row r="1665" s="88" customFormat="1" ht="14.4" customHeight="1" x14ac:dyDescent="0.3"/>
    <row r="1666" s="88" customFormat="1" ht="14.4" customHeight="1" x14ac:dyDescent="0.3"/>
    <row r="1667" s="88" customFormat="1" ht="14.4" customHeight="1" x14ac:dyDescent="0.3"/>
    <row r="1668" s="88" customFormat="1" ht="14.4" customHeight="1" x14ac:dyDescent="0.3"/>
    <row r="1669" s="88" customFormat="1" ht="14.4" customHeight="1" x14ac:dyDescent="0.3"/>
    <row r="1670" s="88" customFormat="1" ht="14.4" customHeight="1" x14ac:dyDescent="0.3"/>
    <row r="1671" s="88" customFormat="1" ht="14.4" customHeight="1" x14ac:dyDescent="0.3"/>
    <row r="1672" s="88" customFormat="1" ht="14.4" customHeight="1" x14ac:dyDescent="0.3"/>
    <row r="1673" s="88" customFormat="1" ht="14.4" customHeight="1" x14ac:dyDescent="0.3"/>
    <row r="1674" s="88" customFormat="1" ht="14.4" customHeight="1" x14ac:dyDescent="0.3"/>
    <row r="1675" s="88" customFormat="1" ht="14.4" customHeight="1" x14ac:dyDescent="0.3"/>
    <row r="1676" s="88" customFormat="1" ht="14.4" customHeight="1" x14ac:dyDescent="0.3"/>
    <row r="1677" s="88" customFormat="1" ht="14.4" customHeight="1" x14ac:dyDescent="0.3"/>
    <row r="1678" s="88" customFormat="1" ht="14.4" customHeight="1" x14ac:dyDescent="0.3"/>
    <row r="1679" s="88" customFormat="1" ht="14.4" customHeight="1" x14ac:dyDescent="0.3"/>
    <row r="1680" s="88" customFormat="1" ht="14.4" customHeight="1" x14ac:dyDescent="0.3"/>
    <row r="1681" s="88" customFormat="1" ht="14.4" customHeight="1" x14ac:dyDescent="0.3"/>
    <row r="1682" s="88" customFormat="1" ht="14.4" customHeight="1" x14ac:dyDescent="0.3"/>
    <row r="1683" s="88" customFormat="1" ht="14.4" customHeight="1" x14ac:dyDescent="0.3"/>
    <row r="1684" s="88" customFormat="1" ht="14.4" customHeight="1" x14ac:dyDescent="0.3"/>
    <row r="1685" s="88" customFormat="1" ht="14.4" customHeight="1" x14ac:dyDescent="0.3"/>
    <row r="1686" s="88" customFormat="1" ht="14.4" customHeight="1" x14ac:dyDescent="0.3"/>
    <row r="1687" s="88" customFormat="1" ht="14.4" customHeight="1" x14ac:dyDescent="0.3"/>
    <row r="1688" s="88" customFormat="1" ht="14.4" customHeight="1" x14ac:dyDescent="0.3"/>
    <row r="1689" s="88" customFormat="1" ht="14.4" customHeight="1" x14ac:dyDescent="0.3"/>
    <row r="1690" s="88" customFormat="1" ht="14.4" customHeight="1" x14ac:dyDescent="0.3"/>
    <row r="1691" s="88" customFormat="1" ht="14.4" customHeight="1" x14ac:dyDescent="0.3"/>
    <row r="1692" s="88" customFormat="1" ht="14.4" customHeight="1" x14ac:dyDescent="0.3"/>
    <row r="1693" s="88" customFormat="1" ht="14.4" customHeight="1" x14ac:dyDescent="0.3"/>
    <row r="1694" s="88" customFormat="1" ht="14.4" customHeight="1" x14ac:dyDescent="0.3"/>
    <row r="1695" s="88" customFormat="1" ht="14.4" customHeight="1" x14ac:dyDescent="0.3"/>
    <row r="1696" s="88" customFormat="1" ht="14.4" customHeight="1" x14ac:dyDescent="0.3"/>
    <row r="1697" s="88" customFormat="1" ht="14.4" customHeight="1" x14ac:dyDescent="0.3"/>
    <row r="1698" s="88" customFormat="1" ht="14.4" customHeight="1" x14ac:dyDescent="0.3"/>
    <row r="1699" s="88" customFormat="1" ht="14.4" customHeight="1" x14ac:dyDescent="0.3"/>
    <row r="1700" s="88" customFormat="1" ht="14.4" customHeight="1" x14ac:dyDescent="0.3"/>
    <row r="1701" s="88" customFormat="1" ht="14.4" customHeight="1" x14ac:dyDescent="0.3"/>
    <row r="1702" s="88" customFormat="1" ht="14.4" customHeight="1" x14ac:dyDescent="0.3"/>
    <row r="1703" s="88" customFormat="1" ht="14.4" customHeight="1" x14ac:dyDescent="0.3"/>
    <row r="1704" s="88" customFormat="1" ht="14.4" customHeight="1" x14ac:dyDescent="0.3"/>
    <row r="1705" s="88" customFormat="1" ht="14.4" customHeight="1" x14ac:dyDescent="0.3"/>
    <row r="1706" s="88" customFormat="1" ht="14.4" customHeight="1" x14ac:dyDescent="0.3"/>
    <row r="1707" s="88" customFormat="1" ht="14.4" customHeight="1" x14ac:dyDescent="0.3"/>
    <row r="1708" s="88" customFormat="1" ht="14.4" customHeight="1" x14ac:dyDescent="0.3"/>
    <row r="1709" s="88" customFormat="1" ht="14.4" customHeight="1" x14ac:dyDescent="0.3"/>
    <row r="1710" s="88" customFormat="1" ht="14.4" customHeight="1" x14ac:dyDescent="0.3"/>
    <row r="1711" s="88" customFormat="1" ht="14.4" customHeight="1" x14ac:dyDescent="0.3"/>
    <row r="1712" s="88" customFormat="1" ht="14.4" customHeight="1" x14ac:dyDescent="0.3"/>
    <row r="1713" s="88" customFormat="1" ht="14.4" customHeight="1" x14ac:dyDescent="0.3"/>
    <row r="1714" s="88" customFormat="1" ht="14.4" customHeight="1" x14ac:dyDescent="0.3"/>
    <row r="1715" s="88" customFormat="1" ht="14.4" customHeight="1" x14ac:dyDescent="0.3"/>
    <row r="1716" s="88" customFormat="1" ht="14.4" customHeight="1" x14ac:dyDescent="0.3"/>
    <row r="1717" s="88" customFormat="1" ht="14.4" customHeight="1" x14ac:dyDescent="0.3"/>
    <row r="1718" s="88" customFormat="1" ht="14.4" customHeight="1" x14ac:dyDescent="0.3"/>
    <row r="1719" s="88" customFormat="1" ht="14.4" customHeight="1" x14ac:dyDescent="0.3"/>
    <row r="1720" s="88" customFormat="1" ht="14.4" customHeight="1" x14ac:dyDescent="0.3"/>
    <row r="1721" s="88" customFormat="1" ht="14.4" customHeight="1" x14ac:dyDescent="0.3"/>
    <row r="1722" s="88" customFormat="1" ht="14.4" customHeight="1" x14ac:dyDescent="0.3"/>
    <row r="1723" s="88" customFormat="1" ht="14.4" customHeight="1" x14ac:dyDescent="0.3"/>
    <row r="1724" s="88" customFormat="1" ht="14.4" customHeight="1" x14ac:dyDescent="0.3"/>
    <row r="1725" s="88" customFormat="1" ht="14.4" customHeight="1" x14ac:dyDescent="0.3"/>
    <row r="1726" s="88" customFormat="1" ht="14.4" customHeight="1" x14ac:dyDescent="0.3"/>
    <row r="1727" s="88" customFormat="1" ht="14.4" customHeight="1" x14ac:dyDescent="0.3"/>
    <row r="1728" s="88" customFormat="1" ht="14.4" customHeight="1" x14ac:dyDescent="0.3"/>
    <row r="1729" s="88" customFormat="1" ht="14.4" customHeight="1" x14ac:dyDescent="0.3"/>
    <row r="1730" s="88" customFormat="1" ht="14.4" customHeight="1" x14ac:dyDescent="0.3"/>
    <row r="1731" s="88" customFormat="1" ht="14.4" customHeight="1" x14ac:dyDescent="0.3"/>
    <row r="1732" s="88" customFormat="1" ht="14.4" customHeight="1" x14ac:dyDescent="0.3"/>
    <row r="1733" s="88" customFormat="1" ht="14.4" customHeight="1" x14ac:dyDescent="0.3"/>
    <row r="1734" s="88" customFormat="1" ht="14.4" customHeight="1" x14ac:dyDescent="0.3"/>
    <row r="1735" s="88" customFormat="1" ht="14.4" customHeight="1" x14ac:dyDescent="0.3"/>
    <row r="1736" s="88" customFormat="1" ht="14.4" customHeight="1" x14ac:dyDescent="0.3"/>
    <row r="1737" s="88" customFormat="1" ht="14.4" customHeight="1" x14ac:dyDescent="0.3"/>
    <row r="1738" s="88" customFormat="1" ht="14.4" customHeight="1" x14ac:dyDescent="0.3"/>
    <row r="1739" s="88" customFormat="1" ht="14.4" customHeight="1" x14ac:dyDescent="0.3"/>
    <row r="1740" s="88" customFormat="1" ht="14.4" customHeight="1" x14ac:dyDescent="0.3"/>
    <row r="1741" s="88" customFormat="1" ht="14.4" customHeight="1" x14ac:dyDescent="0.3"/>
    <row r="1742" s="88" customFormat="1" ht="14.4" customHeight="1" x14ac:dyDescent="0.3"/>
    <row r="1743" s="88" customFormat="1" ht="14.4" customHeight="1" x14ac:dyDescent="0.3"/>
    <row r="1744" s="88" customFormat="1" ht="14.4" customHeight="1" x14ac:dyDescent="0.3"/>
    <row r="1745" s="88" customFormat="1" ht="14.4" customHeight="1" x14ac:dyDescent="0.3"/>
    <row r="1746" s="88" customFormat="1" ht="14.4" customHeight="1" x14ac:dyDescent="0.3"/>
    <row r="1747" s="88" customFormat="1" ht="14.4" customHeight="1" x14ac:dyDescent="0.3"/>
    <row r="1748" s="88" customFormat="1" ht="14.4" customHeight="1" x14ac:dyDescent="0.3"/>
    <row r="1749" s="88" customFormat="1" ht="14.4" customHeight="1" x14ac:dyDescent="0.3"/>
    <row r="1750" s="88" customFormat="1" ht="14.4" customHeight="1" x14ac:dyDescent="0.3"/>
    <row r="1751" s="88" customFormat="1" ht="14.4" customHeight="1" x14ac:dyDescent="0.3"/>
    <row r="1752" s="88" customFormat="1" ht="14.4" customHeight="1" x14ac:dyDescent="0.3"/>
    <row r="1753" s="88" customFormat="1" ht="14.4" customHeight="1" x14ac:dyDescent="0.3"/>
    <row r="1754" s="88" customFormat="1" ht="14.4" customHeight="1" x14ac:dyDescent="0.3"/>
    <row r="1755" s="88" customFormat="1" ht="14.4" customHeight="1" x14ac:dyDescent="0.3"/>
    <row r="1756" s="88" customFormat="1" ht="14.4" customHeight="1" x14ac:dyDescent="0.3"/>
    <row r="1757" s="88" customFormat="1" ht="14.4" customHeight="1" x14ac:dyDescent="0.3"/>
    <row r="1758" s="88" customFormat="1" ht="14.4" customHeight="1" x14ac:dyDescent="0.3"/>
    <row r="1759" s="88" customFormat="1" ht="14.4" customHeight="1" x14ac:dyDescent="0.3"/>
    <row r="1760" s="88" customFormat="1" ht="14.4" customHeight="1" x14ac:dyDescent="0.3"/>
    <row r="1761" s="88" customFormat="1" ht="14.4" customHeight="1" x14ac:dyDescent="0.3"/>
    <row r="1762" s="88" customFormat="1" ht="14.4" customHeight="1" x14ac:dyDescent="0.3"/>
    <row r="1763" s="88" customFormat="1" ht="14.4" customHeight="1" x14ac:dyDescent="0.3"/>
    <row r="1764" s="88" customFormat="1" ht="14.4" customHeight="1" x14ac:dyDescent="0.3"/>
    <row r="1765" s="88" customFormat="1" ht="14.4" customHeight="1" x14ac:dyDescent="0.3"/>
    <row r="1766" s="88" customFormat="1" ht="14.4" customHeight="1" x14ac:dyDescent="0.3"/>
    <row r="1767" s="88" customFormat="1" ht="14.4" customHeight="1" x14ac:dyDescent="0.3"/>
    <row r="1768" s="88" customFormat="1" ht="14.4" customHeight="1" x14ac:dyDescent="0.3"/>
    <row r="1769" s="88" customFormat="1" ht="14.4" customHeight="1" x14ac:dyDescent="0.3"/>
    <row r="1770" s="88" customFormat="1" ht="14.4" customHeight="1" x14ac:dyDescent="0.3"/>
    <row r="1771" s="88" customFormat="1" ht="14.4" customHeight="1" x14ac:dyDescent="0.3"/>
    <row r="1772" s="88" customFormat="1" ht="14.4" customHeight="1" x14ac:dyDescent="0.3"/>
    <row r="1773" s="88" customFormat="1" ht="14.4" customHeight="1" x14ac:dyDescent="0.3"/>
    <row r="1774" s="88" customFormat="1" ht="14.4" customHeight="1" x14ac:dyDescent="0.3"/>
    <row r="1775" s="88" customFormat="1" ht="14.4" customHeight="1" x14ac:dyDescent="0.3"/>
    <row r="1776" s="88" customFormat="1" ht="14.4" customHeight="1" x14ac:dyDescent="0.3"/>
    <row r="1777" s="88" customFormat="1" ht="14.4" customHeight="1" x14ac:dyDescent="0.3"/>
    <row r="1778" s="88" customFormat="1" ht="14.4" customHeight="1" x14ac:dyDescent="0.3"/>
    <row r="1779" s="88" customFormat="1" ht="14.4" customHeight="1" x14ac:dyDescent="0.3"/>
    <row r="1780" s="88" customFormat="1" ht="14.4" customHeight="1" x14ac:dyDescent="0.3"/>
    <row r="1781" s="88" customFormat="1" ht="14.4" customHeight="1" x14ac:dyDescent="0.3"/>
    <row r="1782" s="88" customFormat="1" ht="14.4" customHeight="1" x14ac:dyDescent="0.3"/>
    <row r="1783" s="88" customFormat="1" ht="14.4" customHeight="1" x14ac:dyDescent="0.3"/>
    <row r="1784" s="88" customFormat="1" ht="14.4" customHeight="1" x14ac:dyDescent="0.3"/>
    <row r="1785" s="88" customFormat="1" ht="14.4" customHeight="1" x14ac:dyDescent="0.3"/>
    <row r="1786" s="88" customFormat="1" ht="14.4" customHeight="1" x14ac:dyDescent="0.3"/>
    <row r="1787" s="88" customFormat="1" ht="14.4" customHeight="1" x14ac:dyDescent="0.3"/>
    <row r="1788" s="88" customFormat="1" ht="14.4" customHeight="1" x14ac:dyDescent="0.3"/>
    <row r="1789" s="88" customFormat="1" ht="14.4" customHeight="1" x14ac:dyDescent="0.3"/>
    <row r="1790" s="88" customFormat="1" ht="14.4" customHeight="1" x14ac:dyDescent="0.3"/>
    <row r="1791" s="88" customFormat="1" ht="14.4" customHeight="1" x14ac:dyDescent="0.3"/>
    <row r="1792" s="88" customFormat="1" ht="14.4" customHeight="1" x14ac:dyDescent="0.3"/>
    <row r="1793" s="88" customFormat="1" ht="14.4" customHeight="1" x14ac:dyDescent="0.3"/>
    <row r="1794" s="88" customFormat="1" ht="14.4" customHeight="1" x14ac:dyDescent="0.3"/>
    <row r="1795" s="88" customFormat="1" ht="14.4" customHeight="1" x14ac:dyDescent="0.3"/>
    <row r="1796" s="88" customFormat="1" ht="14.4" customHeight="1" x14ac:dyDescent="0.3"/>
    <row r="1797" s="88" customFormat="1" ht="14.4" customHeight="1" x14ac:dyDescent="0.3"/>
    <row r="1798" s="88" customFormat="1" ht="14.4" customHeight="1" x14ac:dyDescent="0.3"/>
    <row r="1799" s="88" customFormat="1" ht="14.4" customHeight="1" x14ac:dyDescent="0.3"/>
    <row r="1800" s="88" customFormat="1" ht="14.4" customHeight="1" x14ac:dyDescent="0.3"/>
    <row r="1801" s="88" customFormat="1" ht="14.4" customHeight="1" x14ac:dyDescent="0.3"/>
    <row r="1802" s="88" customFormat="1" ht="14.4" customHeight="1" x14ac:dyDescent="0.3"/>
    <row r="1803" s="88" customFormat="1" ht="14.4" customHeight="1" x14ac:dyDescent="0.3"/>
    <row r="1804" s="88" customFormat="1" ht="14.4" customHeight="1" x14ac:dyDescent="0.3"/>
    <row r="1805" s="88" customFormat="1" ht="14.4" customHeight="1" x14ac:dyDescent="0.3"/>
    <row r="1806" s="88" customFormat="1" ht="14.4" customHeight="1" x14ac:dyDescent="0.3"/>
    <row r="1807" s="88" customFormat="1" ht="14.4" customHeight="1" x14ac:dyDescent="0.3"/>
    <row r="1808" s="88" customFormat="1" ht="14.4" customHeight="1" x14ac:dyDescent="0.3"/>
    <row r="1809" s="88" customFormat="1" ht="14.4" customHeight="1" x14ac:dyDescent="0.3"/>
    <row r="1810" s="88" customFormat="1" ht="14.4" customHeight="1" x14ac:dyDescent="0.3"/>
    <row r="1811" s="88" customFormat="1" ht="14.4" customHeight="1" x14ac:dyDescent="0.3"/>
    <row r="1812" s="88" customFormat="1" ht="14.4" customHeight="1" x14ac:dyDescent="0.3"/>
    <row r="1813" s="88" customFormat="1" ht="14.4" customHeight="1" x14ac:dyDescent="0.3"/>
    <row r="1814" s="88" customFormat="1" ht="14.4" customHeight="1" x14ac:dyDescent="0.3"/>
    <row r="1815" s="88" customFormat="1" ht="14.4" customHeight="1" x14ac:dyDescent="0.3"/>
    <row r="1816" s="88" customFormat="1" ht="14.4" customHeight="1" x14ac:dyDescent="0.3"/>
    <row r="1817" s="88" customFormat="1" ht="14.4" customHeight="1" x14ac:dyDescent="0.3"/>
    <row r="1818" s="88" customFormat="1" ht="14.4" customHeight="1" x14ac:dyDescent="0.3"/>
    <row r="1819" s="88" customFormat="1" ht="14.4" customHeight="1" x14ac:dyDescent="0.3"/>
    <row r="1820" s="88" customFormat="1" ht="14.4" customHeight="1" x14ac:dyDescent="0.3"/>
    <row r="1821" s="88" customFormat="1" ht="14.4" customHeight="1" x14ac:dyDescent="0.3"/>
    <row r="1822" s="88" customFormat="1" ht="14.4" customHeight="1" x14ac:dyDescent="0.3"/>
    <row r="1823" s="88" customFormat="1" ht="14.4" customHeight="1" x14ac:dyDescent="0.3"/>
    <row r="1824" s="88" customFormat="1" ht="14.4" customHeight="1" x14ac:dyDescent="0.3"/>
    <row r="1825" s="88" customFormat="1" ht="14.4" customHeight="1" x14ac:dyDescent="0.3"/>
    <row r="1826" s="88" customFormat="1" ht="14.4" customHeight="1" x14ac:dyDescent="0.3"/>
    <row r="1827" s="88" customFormat="1" ht="14.4" customHeight="1" x14ac:dyDescent="0.3"/>
    <row r="1828" s="88" customFormat="1" ht="14.4" customHeight="1" x14ac:dyDescent="0.3"/>
    <row r="1829" s="88" customFormat="1" ht="14.4" customHeight="1" x14ac:dyDescent="0.3"/>
    <row r="1830" s="88" customFormat="1" ht="14.4" customHeight="1" x14ac:dyDescent="0.3"/>
    <row r="1831" s="88" customFormat="1" ht="14.4" customHeight="1" x14ac:dyDescent="0.3"/>
    <row r="1832" s="88" customFormat="1" ht="14.4" customHeight="1" x14ac:dyDescent="0.3"/>
    <row r="1833" s="88" customFormat="1" ht="14.4" customHeight="1" x14ac:dyDescent="0.3"/>
    <row r="1834" s="88" customFormat="1" ht="14.4" customHeight="1" x14ac:dyDescent="0.3"/>
    <row r="1835" s="88" customFormat="1" ht="14.4" customHeight="1" x14ac:dyDescent="0.3"/>
    <row r="1836" s="88" customFormat="1" ht="14.4" customHeight="1" x14ac:dyDescent="0.3"/>
    <row r="1837" s="88" customFormat="1" ht="14.4" customHeight="1" x14ac:dyDescent="0.3"/>
    <row r="1838" s="88" customFormat="1" ht="14.4" customHeight="1" x14ac:dyDescent="0.3"/>
    <row r="1839" s="88" customFormat="1" ht="14.4" customHeight="1" x14ac:dyDescent="0.3"/>
    <row r="1840" s="88" customFormat="1" ht="14.4" customHeight="1" x14ac:dyDescent="0.3"/>
    <row r="1841" s="88" customFormat="1" ht="14.4" customHeight="1" x14ac:dyDescent="0.3"/>
    <row r="1842" s="88" customFormat="1" ht="14.4" customHeight="1" x14ac:dyDescent="0.3"/>
    <row r="1843" s="88" customFormat="1" ht="14.4" customHeight="1" x14ac:dyDescent="0.3"/>
    <row r="1844" s="88" customFormat="1" ht="14.4" customHeight="1" x14ac:dyDescent="0.3"/>
    <row r="1845" s="88" customFormat="1" ht="14.4" customHeight="1" x14ac:dyDescent="0.3"/>
    <row r="1846" s="88" customFormat="1" ht="14.4" customHeight="1" x14ac:dyDescent="0.3"/>
    <row r="1847" s="88" customFormat="1" ht="14.4" customHeight="1" x14ac:dyDescent="0.3"/>
    <row r="1848" s="88" customFormat="1" ht="14.4" customHeight="1" x14ac:dyDescent="0.3"/>
    <row r="1849" s="88" customFormat="1" ht="14.4" customHeight="1" x14ac:dyDescent="0.3"/>
    <row r="1850" s="88" customFormat="1" ht="14.4" customHeight="1" x14ac:dyDescent="0.3"/>
    <row r="1851" s="88" customFormat="1" ht="14.4" customHeight="1" x14ac:dyDescent="0.3"/>
    <row r="1852" s="88" customFormat="1" ht="14.4" customHeight="1" x14ac:dyDescent="0.3"/>
    <row r="1853" s="88" customFormat="1" ht="14.4" customHeight="1" x14ac:dyDescent="0.3"/>
    <row r="1854" s="88" customFormat="1" ht="14.4" customHeight="1" x14ac:dyDescent="0.3"/>
    <row r="1855" s="88" customFormat="1" ht="14.4" customHeight="1" x14ac:dyDescent="0.3"/>
    <row r="1856" s="88" customFormat="1" ht="14.4" customHeight="1" x14ac:dyDescent="0.3"/>
    <row r="1857" s="88" customFormat="1" ht="14.4" customHeight="1" x14ac:dyDescent="0.3"/>
    <row r="1858" s="88" customFormat="1" ht="14.4" customHeight="1" x14ac:dyDescent="0.3"/>
    <row r="1859" s="88" customFormat="1" ht="14.4" customHeight="1" x14ac:dyDescent="0.3"/>
    <row r="1860" s="88" customFormat="1" ht="14.4" customHeight="1" x14ac:dyDescent="0.3"/>
    <row r="1861" s="88" customFormat="1" ht="14.4" customHeight="1" x14ac:dyDescent="0.3"/>
    <row r="1862" s="88" customFormat="1" ht="14.4" customHeight="1" x14ac:dyDescent="0.3"/>
    <row r="1863" s="88" customFormat="1" ht="14.4" customHeight="1" x14ac:dyDescent="0.3"/>
    <row r="1864" s="88" customFormat="1" ht="14.4" customHeight="1" x14ac:dyDescent="0.3"/>
    <row r="1865" s="88" customFormat="1" ht="14.4" customHeight="1" x14ac:dyDescent="0.3"/>
    <row r="1866" s="88" customFormat="1" ht="14.4" customHeight="1" x14ac:dyDescent="0.3"/>
    <row r="1867" s="88" customFormat="1" ht="14.4" customHeight="1" x14ac:dyDescent="0.3"/>
    <row r="1868" s="88" customFormat="1" ht="14.4" customHeight="1" x14ac:dyDescent="0.3"/>
    <row r="1869" s="88" customFormat="1" ht="14.4" customHeight="1" x14ac:dyDescent="0.3"/>
    <row r="1870" s="88" customFormat="1" ht="14.4" customHeight="1" x14ac:dyDescent="0.3"/>
    <row r="1871" s="88" customFormat="1" ht="14.4" customHeight="1" x14ac:dyDescent="0.3"/>
  </sheetData>
  <conditionalFormatting sqref="A2:A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:A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U8"/>
  <sheetViews>
    <sheetView workbookViewId="0">
      <selection sqref="A1:XFD1048576"/>
    </sheetView>
  </sheetViews>
  <sheetFormatPr defaultRowHeight="14.4" x14ac:dyDescent="0.3"/>
  <cols>
    <col min="1" max="1" width="34.6640625" bestFit="1" customWidth="1"/>
    <col min="2" max="2" width="18" bestFit="1" customWidth="1"/>
    <col min="3" max="3" width="13.33203125" bestFit="1" customWidth="1"/>
    <col min="4" max="4" width="10.6640625" bestFit="1" customWidth="1"/>
    <col min="5" max="5" width="12.44140625" bestFit="1" customWidth="1"/>
    <col min="6" max="6" width="9.6640625" bestFit="1" customWidth="1"/>
    <col min="7" max="7" width="10.6640625" bestFit="1" customWidth="1"/>
    <col min="8" max="8" width="19.109375" bestFit="1" customWidth="1"/>
    <col min="9" max="9" width="16.109375" bestFit="1" customWidth="1"/>
    <col min="10" max="10" width="13.33203125" bestFit="1" customWidth="1"/>
    <col min="11" max="11" width="23.5546875" bestFit="1" customWidth="1"/>
    <col min="12" max="12" width="7.44140625" bestFit="1" customWidth="1"/>
    <col min="13" max="13" width="26.33203125" bestFit="1" customWidth="1"/>
    <col min="14" max="14" width="11.33203125" bestFit="1" customWidth="1"/>
    <col min="15" max="15" width="16.33203125" bestFit="1" customWidth="1"/>
    <col min="16" max="16" width="10.88671875" bestFit="1" customWidth="1"/>
    <col min="17" max="17" width="5.109375" bestFit="1" customWidth="1"/>
    <col min="18" max="18" width="7.44140625" bestFit="1" customWidth="1"/>
    <col min="19" max="19" width="14.88671875" bestFit="1" customWidth="1"/>
    <col min="20" max="20" width="15.6640625" bestFit="1" customWidth="1"/>
    <col min="21" max="21" width="15.88671875" bestFit="1" customWidth="1"/>
  </cols>
  <sheetData>
    <row r="2" spans="1:21" x14ac:dyDescent="0.3">
      <c r="A2" s="89"/>
      <c r="B2" s="89"/>
      <c r="C2" s="89"/>
      <c r="D2" s="90"/>
      <c r="E2" s="89"/>
      <c r="F2" s="89"/>
      <c r="G2" s="90"/>
      <c r="H2" s="89"/>
      <c r="I2" s="91"/>
      <c r="J2" s="91"/>
      <c r="K2" s="91"/>
      <c r="L2" s="89"/>
      <c r="M2" s="91"/>
      <c r="N2" s="89"/>
      <c r="O2" s="91"/>
      <c r="P2" s="89"/>
      <c r="Q2" s="89"/>
      <c r="R2" s="92"/>
      <c r="S2" s="89"/>
      <c r="T2" s="89"/>
      <c r="U2" s="89"/>
    </row>
    <row r="3" spans="1:21" x14ac:dyDescent="0.3">
      <c r="A3" s="89"/>
      <c r="B3" s="89"/>
      <c r="C3" s="89"/>
      <c r="D3" s="90"/>
      <c r="E3" s="89"/>
      <c r="F3" s="89"/>
      <c r="G3" s="90"/>
      <c r="H3" s="89"/>
      <c r="I3" s="91"/>
      <c r="J3" s="91"/>
      <c r="K3" s="91"/>
      <c r="L3" s="89"/>
      <c r="M3" s="91"/>
      <c r="N3" s="89"/>
      <c r="O3" s="91"/>
      <c r="P3" s="89"/>
      <c r="Q3" s="89"/>
      <c r="R3" s="92"/>
      <c r="S3" s="89"/>
      <c r="T3" s="89"/>
      <c r="U3" s="89"/>
    </row>
    <row r="4" spans="1:21" x14ac:dyDescent="0.3">
      <c r="A4" s="89"/>
      <c r="B4" s="89"/>
      <c r="C4" s="89"/>
      <c r="D4" s="90"/>
      <c r="E4" s="89"/>
      <c r="F4" s="89"/>
      <c r="G4" s="90"/>
      <c r="H4" s="89"/>
      <c r="I4" s="91"/>
      <c r="J4" s="91"/>
      <c r="K4" s="91"/>
      <c r="L4" s="89"/>
      <c r="M4" s="91"/>
      <c r="N4" s="89"/>
      <c r="O4" s="91"/>
      <c r="P4" s="89"/>
      <c r="Q4" s="89"/>
      <c r="R4" s="92"/>
      <c r="S4" s="89"/>
      <c r="T4" s="89"/>
      <c r="U4" s="89"/>
    </row>
    <row r="5" spans="1:21" x14ac:dyDescent="0.3">
      <c r="A5" s="89"/>
      <c r="B5" s="89"/>
      <c r="C5" s="89"/>
      <c r="D5" s="90"/>
      <c r="E5" s="89"/>
      <c r="F5" s="89"/>
      <c r="G5" s="90"/>
      <c r="H5" s="89"/>
      <c r="I5" s="91"/>
      <c r="J5" s="91"/>
      <c r="K5" s="91"/>
      <c r="L5" s="89"/>
      <c r="M5" s="91"/>
      <c r="N5" s="89"/>
      <c r="O5" s="91"/>
      <c r="P5" s="89"/>
      <c r="Q5" s="89"/>
      <c r="R5" s="92"/>
      <c r="S5" s="89"/>
      <c r="T5" s="89"/>
      <c r="U5" s="89"/>
    </row>
    <row r="6" spans="1:21" x14ac:dyDescent="0.3">
      <c r="A6" s="89"/>
      <c r="B6" s="89"/>
      <c r="C6" s="89"/>
      <c r="D6" s="90"/>
      <c r="E6" s="89"/>
      <c r="F6" s="89"/>
      <c r="G6" s="90"/>
      <c r="H6" s="89"/>
      <c r="I6" s="91"/>
      <c r="J6" s="91"/>
      <c r="K6" s="91"/>
      <c r="L6" s="89"/>
      <c r="M6" s="91"/>
      <c r="N6" s="89"/>
      <c r="O6" s="91"/>
      <c r="P6" s="89"/>
      <c r="Q6" s="89"/>
      <c r="R6" s="92"/>
      <c r="S6" s="89"/>
      <c r="T6" s="89"/>
      <c r="U6" s="89"/>
    </row>
    <row r="7" spans="1:21" x14ac:dyDescent="0.3">
      <c r="A7" s="89"/>
      <c r="B7" s="89"/>
      <c r="C7" s="89"/>
      <c r="D7" s="90"/>
      <c r="E7" s="89"/>
      <c r="F7" s="89"/>
      <c r="G7" s="90"/>
      <c r="H7" s="89"/>
      <c r="I7" s="91"/>
      <c r="J7" s="91"/>
      <c r="K7" s="91"/>
      <c r="L7" s="89"/>
      <c r="M7" s="91"/>
      <c r="N7" s="89"/>
      <c r="O7" s="91"/>
      <c r="P7" s="89"/>
      <c r="Q7" s="89"/>
      <c r="R7" s="92"/>
      <c r="S7" s="89"/>
      <c r="T7" s="89"/>
      <c r="U7" s="89"/>
    </row>
    <row r="8" spans="1:21" x14ac:dyDescent="0.3">
      <c r="A8" s="89"/>
      <c r="B8" s="89"/>
      <c r="C8" s="89"/>
      <c r="D8" s="90"/>
      <c r="E8" s="89"/>
      <c r="F8" s="89"/>
      <c r="G8" s="90"/>
      <c r="H8" s="89"/>
      <c r="I8" s="91"/>
      <c r="J8" s="91"/>
      <c r="K8" s="91"/>
      <c r="L8" s="89"/>
      <c r="M8" s="91"/>
      <c r="N8" s="89"/>
      <c r="O8" s="91"/>
      <c r="P8" s="89"/>
      <c r="Q8" s="89"/>
      <c r="R8" s="92"/>
      <c r="S8" s="89"/>
      <c r="T8" s="89"/>
      <c r="U8" s="8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K49"/>
  <sheetViews>
    <sheetView zoomScale="70" zoomScaleNormal="70" workbookViewId="0">
      <pane xSplit="2" ySplit="8" topLeftCell="C9" activePane="bottomRight" state="frozen"/>
      <selection activeCell="Z8" sqref="Z8"/>
      <selection pane="topRight" activeCell="Z8" sqref="Z8"/>
      <selection pane="bottomLeft" activeCell="Z8" sqref="Z8"/>
      <selection pane="bottomRight" activeCell="C10" sqref="C10"/>
    </sheetView>
  </sheetViews>
  <sheetFormatPr defaultRowHeight="19.5" customHeight="1" x14ac:dyDescent="0.3"/>
  <cols>
    <col min="1" max="1" width="4.5546875" style="88" customWidth="1"/>
    <col min="2" max="2" width="30.77734375" style="88" bestFit="1" customWidth="1"/>
    <col min="3" max="9" width="9.6640625" style="88" bestFit="1" customWidth="1"/>
    <col min="10" max="10" width="9.6640625" style="97" bestFit="1" customWidth="1"/>
    <col min="11" max="11" width="9.6640625" style="88" bestFit="1" customWidth="1"/>
    <col min="12" max="35" width="10.77734375" style="88" bestFit="1" customWidth="1"/>
    <col min="36" max="36" width="24.44140625" style="88" customWidth="1"/>
    <col min="37" max="37" width="14.88671875" style="88" customWidth="1"/>
    <col min="38" max="38" width="9.6640625" style="88" bestFit="1" customWidth="1"/>
    <col min="39" max="39" width="14.21875" style="88" customWidth="1"/>
    <col min="40" max="40" width="12.88671875" style="88" customWidth="1"/>
    <col min="41" max="41" width="17.88671875" style="88" bestFit="1" customWidth="1"/>
    <col min="42" max="42" width="13.109375" style="88" bestFit="1" customWidth="1"/>
    <col min="43" max="43" width="13.109375" style="97" bestFit="1" customWidth="1"/>
    <col min="44" max="44" width="11.5546875" style="103" customWidth="1"/>
    <col min="45" max="45" width="13.44140625" style="88" bestFit="1" customWidth="1"/>
    <col min="46" max="46" width="9.6640625" style="103" customWidth="1"/>
    <col min="47" max="47" width="10.6640625" style="88" bestFit="1" customWidth="1"/>
    <col min="48" max="48" width="13.5546875" style="88" bestFit="1" customWidth="1"/>
    <col min="49" max="49" width="12" style="88" bestFit="1" customWidth="1"/>
    <col min="50" max="50" width="12" style="88" customWidth="1"/>
    <col min="51" max="51" width="9.33203125" style="88" bestFit="1" customWidth="1"/>
    <col min="52" max="52" width="12" style="88" bestFit="1" customWidth="1"/>
    <col min="53" max="53" width="13.109375" style="88" customWidth="1"/>
    <col min="54" max="54" width="9.109375" style="159" customWidth="1"/>
    <col min="55" max="55" width="9.88671875" style="88" bestFit="1" customWidth="1"/>
    <col min="56" max="257" width="9.109375" style="88" customWidth="1"/>
    <col min="258" max="258" width="4.5546875" style="88" customWidth="1"/>
    <col min="259" max="259" width="21.109375" style="88" customWidth="1"/>
    <col min="260" max="260" width="11.109375" style="88" bestFit="1" customWidth="1"/>
    <col min="261" max="268" width="11.5546875" style="88" bestFit="1" customWidth="1"/>
    <col min="269" max="269" width="12.44140625" style="88" bestFit="1" customWidth="1"/>
    <col min="270" max="270" width="12" style="88" bestFit="1" customWidth="1"/>
    <col min="271" max="278" width="12.44140625" style="88" bestFit="1" customWidth="1"/>
    <col min="279" max="279" width="12.88671875" style="88" bestFit="1" customWidth="1"/>
    <col min="280" max="280" width="12.44140625" style="88" bestFit="1" customWidth="1"/>
    <col min="281" max="289" width="12.88671875" style="88" bestFit="1" customWidth="1"/>
    <col min="290" max="290" width="12.44140625" style="88" bestFit="1" customWidth="1"/>
    <col min="291" max="292" width="12.88671875" style="88" bestFit="1" customWidth="1"/>
    <col min="293" max="293" width="10.6640625" style="88" bestFit="1" customWidth="1"/>
    <col min="294" max="294" width="13.6640625" style="88" customWidth="1"/>
    <col min="295" max="295" width="11.5546875" style="88" bestFit="1" customWidth="1"/>
    <col min="296" max="296" width="12.88671875" style="88" customWidth="1"/>
    <col min="297" max="297" width="17.88671875" style="88" bestFit="1" customWidth="1"/>
    <col min="298" max="299" width="13.109375" style="88" bestFit="1" customWidth="1"/>
    <col min="300" max="300" width="11.5546875" style="88" customWidth="1"/>
    <col min="301" max="301" width="13.44140625" style="88" bestFit="1" customWidth="1"/>
    <col min="302" max="302" width="9.6640625" style="88" customWidth="1"/>
    <col min="303" max="303" width="10.6640625" style="88" bestFit="1" customWidth="1"/>
    <col min="304" max="304" width="13.5546875" style="88" bestFit="1" customWidth="1"/>
    <col min="305" max="305" width="12" style="88" bestFit="1" customWidth="1"/>
    <col min="306" max="306" width="12" style="88" customWidth="1"/>
    <col min="307" max="307" width="9.33203125" style="88" bestFit="1" customWidth="1"/>
    <col min="308" max="308" width="12" style="88" bestFit="1" customWidth="1"/>
    <col min="309" max="309" width="13.109375" style="88" customWidth="1"/>
    <col min="310" max="310" width="9.109375" style="88" customWidth="1"/>
    <col min="311" max="311" width="9.88671875" style="88" bestFit="1" customWidth="1"/>
    <col min="312" max="513" width="9.109375" style="88" customWidth="1"/>
    <col min="514" max="514" width="4.5546875" style="88" customWidth="1"/>
    <col min="515" max="515" width="21.109375" style="88" customWidth="1"/>
    <col min="516" max="516" width="11.109375" style="88" bestFit="1" customWidth="1"/>
    <col min="517" max="524" width="11.5546875" style="88" bestFit="1" customWidth="1"/>
    <col min="525" max="525" width="12.44140625" style="88" bestFit="1" customWidth="1"/>
    <col min="526" max="526" width="12" style="88" bestFit="1" customWidth="1"/>
    <col min="527" max="534" width="12.44140625" style="88" bestFit="1" customWidth="1"/>
    <col min="535" max="535" width="12.88671875" style="88" bestFit="1" customWidth="1"/>
    <col min="536" max="536" width="12.44140625" style="88" bestFit="1" customWidth="1"/>
    <col min="537" max="545" width="12.88671875" style="88" bestFit="1" customWidth="1"/>
    <col min="546" max="546" width="12.44140625" style="88" bestFit="1" customWidth="1"/>
    <col min="547" max="548" width="12.88671875" style="88" bestFit="1" customWidth="1"/>
    <col min="549" max="549" width="10.6640625" style="88" bestFit="1" customWidth="1"/>
    <col min="550" max="550" width="13.6640625" style="88" customWidth="1"/>
    <col min="551" max="551" width="11.5546875" style="88" bestFit="1" customWidth="1"/>
    <col min="552" max="552" width="12.88671875" style="88" customWidth="1"/>
    <col min="553" max="553" width="17.88671875" style="88" bestFit="1" customWidth="1"/>
    <col min="554" max="555" width="13.109375" style="88" bestFit="1" customWidth="1"/>
    <col min="556" max="556" width="11.5546875" style="88" customWidth="1"/>
    <col min="557" max="557" width="13.44140625" style="88" bestFit="1" customWidth="1"/>
    <col min="558" max="558" width="9.6640625" style="88" customWidth="1"/>
    <col min="559" max="559" width="10.6640625" style="88" bestFit="1" customWidth="1"/>
    <col min="560" max="560" width="13.5546875" style="88" bestFit="1" customWidth="1"/>
    <col min="561" max="561" width="12" style="88" bestFit="1" customWidth="1"/>
    <col min="562" max="562" width="12" style="88" customWidth="1"/>
    <col min="563" max="563" width="9.33203125" style="88" bestFit="1" customWidth="1"/>
    <col min="564" max="564" width="12" style="88" bestFit="1" customWidth="1"/>
    <col min="565" max="565" width="13.109375" style="88" customWidth="1"/>
    <col min="566" max="566" width="9.109375" style="88" customWidth="1"/>
    <col min="567" max="567" width="9.88671875" style="88" bestFit="1" customWidth="1"/>
    <col min="568" max="769" width="9.109375" style="88" customWidth="1"/>
    <col min="770" max="770" width="4.5546875" style="88" customWidth="1"/>
    <col min="771" max="771" width="21.109375" style="88" customWidth="1"/>
    <col min="772" max="772" width="11.109375" style="88" bestFit="1" customWidth="1"/>
    <col min="773" max="780" width="11.5546875" style="88" bestFit="1" customWidth="1"/>
    <col min="781" max="781" width="12.44140625" style="88" bestFit="1" customWidth="1"/>
    <col min="782" max="782" width="12" style="88" bestFit="1" customWidth="1"/>
    <col min="783" max="790" width="12.44140625" style="88" bestFit="1" customWidth="1"/>
    <col min="791" max="791" width="12.88671875" style="88" bestFit="1" customWidth="1"/>
    <col min="792" max="792" width="12.44140625" style="88" bestFit="1" customWidth="1"/>
    <col min="793" max="801" width="12.88671875" style="88" bestFit="1" customWidth="1"/>
    <col min="802" max="802" width="12.44140625" style="88" bestFit="1" customWidth="1"/>
    <col min="803" max="804" width="12.88671875" style="88" bestFit="1" customWidth="1"/>
    <col min="805" max="805" width="10.6640625" style="88" bestFit="1" customWidth="1"/>
    <col min="806" max="806" width="13.6640625" style="88" customWidth="1"/>
    <col min="807" max="807" width="11.5546875" style="88" bestFit="1" customWidth="1"/>
    <col min="808" max="808" width="12.88671875" style="88" customWidth="1"/>
    <col min="809" max="809" width="17.88671875" style="88" bestFit="1" customWidth="1"/>
    <col min="810" max="811" width="13.109375" style="88" bestFit="1" customWidth="1"/>
    <col min="812" max="812" width="11.5546875" style="88" customWidth="1"/>
    <col min="813" max="813" width="13.44140625" style="88" bestFit="1" customWidth="1"/>
    <col min="814" max="814" width="9.6640625" style="88" customWidth="1"/>
    <col min="815" max="815" width="10.6640625" style="88" bestFit="1" customWidth="1"/>
    <col min="816" max="816" width="13.5546875" style="88" bestFit="1" customWidth="1"/>
    <col min="817" max="817" width="12" style="88" bestFit="1" customWidth="1"/>
    <col min="818" max="818" width="12" style="88" customWidth="1"/>
    <col min="819" max="819" width="9.33203125" style="88" bestFit="1" customWidth="1"/>
    <col min="820" max="820" width="12" style="88" bestFit="1" customWidth="1"/>
    <col min="821" max="821" width="13.109375" style="88" customWidth="1"/>
    <col min="822" max="822" width="9.109375" style="88" customWidth="1"/>
    <col min="823" max="823" width="9.88671875" style="88" bestFit="1" customWidth="1"/>
    <col min="824" max="1025" width="9.109375" style="88" customWidth="1"/>
    <col min="1026" max="1026" width="4.5546875" style="88" customWidth="1"/>
    <col min="1027" max="1027" width="21.109375" style="88" customWidth="1"/>
    <col min="1028" max="1028" width="11.109375" style="88" bestFit="1" customWidth="1"/>
    <col min="1029" max="1036" width="11.5546875" style="88" bestFit="1" customWidth="1"/>
    <col min="1037" max="1037" width="12.44140625" style="88" bestFit="1" customWidth="1"/>
    <col min="1038" max="1038" width="12" style="88" bestFit="1" customWidth="1"/>
    <col min="1039" max="1046" width="12.44140625" style="88" bestFit="1" customWidth="1"/>
    <col min="1047" max="1047" width="12.88671875" style="88" bestFit="1" customWidth="1"/>
    <col min="1048" max="1048" width="12.44140625" style="88" bestFit="1" customWidth="1"/>
    <col min="1049" max="1057" width="12.88671875" style="88" bestFit="1" customWidth="1"/>
    <col min="1058" max="1058" width="12.44140625" style="88" bestFit="1" customWidth="1"/>
    <col min="1059" max="1060" width="12.88671875" style="88" bestFit="1" customWidth="1"/>
    <col min="1061" max="1061" width="10.6640625" style="88" bestFit="1" customWidth="1"/>
    <col min="1062" max="1062" width="13.6640625" style="88" customWidth="1"/>
    <col min="1063" max="1063" width="11.5546875" style="88" bestFit="1" customWidth="1"/>
    <col min="1064" max="1064" width="12.88671875" style="88" customWidth="1"/>
    <col min="1065" max="1065" width="17.88671875" style="88" bestFit="1" customWidth="1"/>
    <col min="1066" max="1067" width="13.109375" style="88" bestFit="1" customWidth="1"/>
    <col min="1068" max="1068" width="11.5546875" style="88" customWidth="1"/>
    <col min="1069" max="1069" width="13.44140625" style="88" bestFit="1" customWidth="1"/>
    <col min="1070" max="1070" width="9.6640625" style="88" customWidth="1"/>
    <col min="1071" max="1071" width="10.6640625" style="88" bestFit="1" customWidth="1"/>
    <col min="1072" max="1072" width="13.5546875" style="88" bestFit="1" customWidth="1"/>
    <col min="1073" max="1073" width="12" style="88" bestFit="1" customWidth="1"/>
    <col min="1074" max="1074" width="12" style="88" customWidth="1"/>
    <col min="1075" max="1075" width="9.33203125" style="88" bestFit="1" customWidth="1"/>
    <col min="1076" max="1076" width="12" style="88" bestFit="1" customWidth="1"/>
    <col min="1077" max="1077" width="13.109375" style="88" customWidth="1"/>
    <col min="1078" max="1078" width="9.109375" style="88" customWidth="1"/>
    <col min="1079" max="1079" width="9.88671875" style="88" bestFit="1" customWidth="1"/>
    <col min="1080" max="1281" width="9.109375" style="88" customWidth="1"/>
    <col min="1282" max="1282" width="4.5546875" style="88" customWidth="1"/>
    <col min="1283" max="1283" width="21.109375" style="88" customWidth="1"/>
    <col min="1284" max="1284" width="11.109375" style="88" bestFit="1" customWidth="1"/>
    <col min="1285" max="1292" width="11.5546875" style="88" bestFit="1" customWidth="1"/>
    <col min="1293" max="1293" width="12.44140625" style="88" bestFit="1" customWidth="1"/>
    <col min="1294" max="1294" width="12" style="88" bestFit="1" customWidth="1"/>
    <col min="1295" max="1302" width="12.44140625" style="88" bestFit="1" customWidth="1"/>
    <col min="1303" max="1303" width="12.88671875" style="88" bestFit="1" customWidth="1"/>
    <col min="1304" max="1304" width="12.44140625" style="88" bestFit="1" customWidth="1"/>
    <col min="1305" max="1313" width="12.88671875" style="88" bestFit="1" customWidth="1"/>
    <col min="1314" max="1314" width="12.44140625" style="88" bestFit="1" customWidth="1"/>
    <col min="1315" max="1316" width="12.88671875" style="88" bestFit="1" customWidth="1"/>
    <col min="1317" max="1317" width="10.6640625" style="88" bestFit="1" customWidth="1"/>
    <col min="1318" max="1318" width="13.6640625" style="88" customWidth="1"/>
    <col min="1319" max="1319" width="11.5546875" style="88" bestFit="1" customWidth="1"/>
    <col min="1320" max="1320" width="12.88671875" style="88" customWidth="1"/>
    <col min="1321" max="1321" width="17.88671875" style="88" bestFit="1" customWidth="1"/>
    <col min="1322" max="1323" width="13.109375" style="88" bestFit="1" customWidth="1"/>
    <col min="1324" max="1324" width="11.5546875" style="88" customWidth="1"/>
    <col min="1325" max="1325" width="13.44140625" style="88" bestFit="1" customWidth="1"/>
    <col min="1326" max="1326" width="9.6640625" style="88" customWidth="1"/>
    <col min="1327" max="1327" width="10.6640625" style="88" bestFit="1" customWidth="1"/>
    <col min="1328" max="1328" width="13.5546875" style="88" bestFit="1" customWidth="1"/>
    <col min="1329" max="1329" width="12" style="88" bestFit="1" customWidth="1"/>
    <col min="1330" max="1330" width="12" style="88" customWidth="1"/>
    <col min="1331" max="1331" width="9.33203125" style="88" bestFit="1" customWidth="1"/>
    <col min="1332" max="1332" width="12" style="88" bestFit="1" customWidth="1"/>
    <col min="1333" max="1333" width="13.109375" style="88" customWidth="1"/>
    <col min="1334" max="1334" width="9.109375" style="88" customWidth="1"/>
    <col min="1335" max="1335" width="9.88671875" style="88" bestFit="1" customWidth="1"/>
    <col min="1336" max="1537" width="9.109375" style="88" customWidth="1"/>
    <col min="1538" max="1538" width="4.5546875" style="88" customWidth="1"/>
    <col min="1539" max="1539" width="21.109375" style="88" customWidth="1"/>
    <col min="1540" max="1540" width="11.109375" style="88" bestFit="1" customWidth="1"/>
    <col min="1541" max="1548" width="11.5546875" style="88" bestFit="1" customWidth="1"/>
    <col min="1549" max="1549" width="12.44140625" style="88" bestFit="1" customWidth="1"/>
    <col min="1550" max="1550" width="12" style="88" bestFit="1" customWidth="1"/>
    <col min="1551" max="1558" width="12.44140625" style="88" bestFit="1" customWidth="1"/>
    <col min="1559" max="1559" width="12.88671875" style="88" bestFit="1" customWidth="1"/>
    <col min="1560" max="1560" width="12.44140625" style="88" bestFit="1" customWidth="1"/>
    <col min="1561" max="1569" width="12.88671875" style="88" bestFit="1" customWidth="1"/>
    <col min="1570" max="1570" width="12.44140625" style="88" bestFit="1" customWidth="1"/>
    <col min="1571" max="1572" width="12.88671875" style="88" bestFit="1" customWidth="1"/>
    <col min="1573" max="1573" width="10.6640625" style="88" bestFit="1" customWidth="1"/>
    <col min="1574" max="1574" width="13.6640625" style="88" customWidth="1"/>
    <col min="1575" max="1575" width="11.5546875" style="88" bestFit="1" customWidth="1"/>
    <col min="1576" max="1576" width="12.88671875" style="88" customWidth="1"/>
    <col min="1577" max="1577" width="17.88671875" style="88" bestFit="1" customWidth="1"/>
    <col min="1578" max="1579" width="13.109375" style="88" bestFit="1" customWidth="1"/>
    <col min="1580" max="1580" width="11.5546875" style="88" customWidth="1"/>
    <col min="1581" max="1581" width="13.44140625" style="88" bestFit="1" customWidth="1"/>
    <col min="1582" max="1582" width="9.6640625" style="88" customWidth="1"/>
    <col min="1583" max="1583" width="10.6640625" style="88" bestFit="1" customWidth="1"/>
    <col min="1584" max="1584" width="13.5546875" style="88" bestFit="1" customWidth="1"/>
    <col min="1585" max="1585" width="12" style="88" bestFit="1" customWidth="1"/>
    <col min="1586" max="1586" width="12" style="88" customWidth="1"/>
    <col min="1587" max="1587" width="9.33203125" style="88" bestFit="1" customWidth="1"/>
    <col min="1588" max="1588" width="12" style="88" bestFit="1" customWidth="1"/>
    <col min="1589" max="1589" width="13.109375" style="88" customWidth="1"/>
    <col min="1590" max="1590" width="9.109375" style="88" customWidth="1"/>
    <col min="1591" max="1591" width="9.88671875" style="88" bestFit="1" customWidth="1"/>
    <col min="1592" max="1793" width="9.109375" style="88" customWidth="1"/>
    <col min="1794" max="1794" width="4.5546875" style="88" customWidth="1"/>
    <col min="1795" max="1795" width="21.109375" style="88" customWidth="1"/>
    <col min="1796" max="1796" width="11.109375" style="88" bestFit="1" customWidth="1"/>
    <col min="1797" max="1804" width="11.5546875" style="88" bestFit="1" customWidth="1"/>
    <col min="1805" max="1805" width="12.44140625" style="88" bestFit="1" customWidth="1"/>
    <col min="1806" max="1806" width="12" style="88" bestFit="1" customWidth="1"/>
    <col min="1807" max="1814" width="12.44140625" style="88" bestFit="1" customWidth="1"/>
    <col min="1815" max="1815" width="12.88671875" style="88" bestFit="1" customWidth="1"/>
    <col min="1816" max="1816" width="12.44140625" style="88" bestFit="1" customWidth="1"/>
    <col min="1817" max="1825" width="12.88671875" style="88" bestFit="1" customWidth="1"/>
    <col min="1826" max="1826" width="12.44140625" style="88" bestFit="1" customWidth="1"/>
    <col min="1827" max="1828" width="12.88671875" style="88" bestFit="1" customWidth="1"/>
    <col min="1829" max="1829" width="10.6640625" style="88" bestFit="1" customWidth="1"/>
    <col min="1830" max="1830" width="13.6640625" style="88" customWidth="1"/>
    <col min="1831" max="1831" width="11.5546875" style="88" bestFit="1" customWidth="1"/>
    <col min="1832" max="1832" width="12.88671875" style="88" customWidth="1"/>
    <col min="1833" max="1833" width="17.88671875" style="88" bestFit="1" customWidth="1"/>
    <col min="1834" max="1835" width="13.109375" style="88" bestFit="1" customWidth="1"/>
    <col min="1836" max="1836" width="11.5546875" style="88" customWidth="1"/>
    <col min="1837" max="1837" width="13.44140625" style="88" bestFit="1" customWidth="1"/>
    <col min="1838" max="1838" width="9.6640625" style="88" customWidth="1"/>
    <col min="1839" max="1839" width="10.6640625" style="88" bestFit="1" customWidth="1"/>
    <col min="1840" max="1840" width="13.5546875" style="88" bestFit="1" customWidth="1"/>
    <col min="1841" max="1841" width="12" style="88" bestFit="1" customWidth="1"/>
    <col min="1842" max="1842" width="12" style="88" customWidth="1"/>
    <col min="1843" max="1843" width="9.33203125" style="88" bestFit="1" customWidth="1"/>
    <col min="1844" max="1844" width="12" style="88" bestFit="1" customWidth="1"/>
    <col min="1845" max="1845" width="13.109375" style="88" customWidth="1"/>
    <col min="1846" max="1846" width="9.109375" style="88" customWidth="1"/>
    <col min="1847" max="1847" width="9.88671875" style="88" bestFit="1" customWidth="1"/>
    <col min="1848" max="2049" width="9.109375" style="88" customWidth="1"/>
    <col min="2050" max="2050" width="4.5546875" style="88" customWidth="1"/>
    <col min="2051" max="2051" width="21.109375" style="88" customWidth="1"/>
    <col min="2052" max="2052" width="11.109375" style="88" bestFit="1" customWidth="1"/>
    <col min="2053" max="2060" width="11.5546875" style="88" bestFit="1" customWidth="1"/>
    <col min="2061" max="2061" width="12.44140625" style="88" bestFit="1" customWidth="1"/>
    <col min="2062" max="2062" width="12" style="88" bestFit="1" customWidth="1"/>
    <col min="2063" max="2070" width="12.44140625" style="88" bestFit="1" customWidth="1"/>
    <col min="2071" max="2071" width="12.88671875" style="88" bestFit="1" customWidth="1"/>
    <col min="2072" max="2072" width="12.44140625" style="88" bestFit="1" customWidth="1"/>
    <col min="2073" max="2081" width="12.88671875" style="88" bestFit="1" customWidth="1"/>
    <col min="2082" max="2082" width="12.44140625" style="88" bestFit="1" customWidth="1"/>
    <col min="2083" max="2084" width="12.88671875" style="88" bestFit="1" customWidth="1"/>
    <col min="2085" max="2085" width="10.6640625" style="88" bestFit="1" customWidth="1"/>
    <col min="2086" max="2086" width="13.6640625" style="88" customWidth="1"/>
    <col min="2087" max="2087" width="11.5546875" style="88" bestFit="1" customWidth="1"/>
    <col min="2088" max="2088" width="12.88671875" style="88" customWidth="1"/>
    <col min="2089" max="2089" width="17.88671875" style="88" bestFit="1" customWidth="1"/>
    <col min="2090" max="2091" width="13.109375" style="88" bestFit="1" customWidth="1"/>
    <col min="2092" max="2092" width="11.5546875" style="88" customWidth="1"/>
    <col min="2093" max="2093" width="13.44140625" style="88" bestFit="1" customWidth="1"/>
    <col min="2094" max="2094" width="9.6640625" style="88" customWidth="1"/>
    <col min="2095" max="2095" width="10.6640625" style="88" bestFit="1" customWidth="1"/>
    <col min="2096" max="2096" width="13.5546875" style="88" bestFit="1" customWidth="1"/>
    <col min="2097" max="2097" width="12" style="88" bestFit="1" customWidth="1"/>
    <col min="2098" max="2098" width="12" style="88" customWidth="1"/>
    <col min="2099" max="2099" width="9.33203125" style="88" bestFit="1" customWidth="1"/>
    <col min="2100" max="2100" width="12" style="88" bestFit="1" customWidth="1"/>
    <col min="2101" max="2101" width="13.109375" style="88" customWidth="1"/>
    <col min="2102" max="2102" width="9.109375" style="88" customWidth="1"/>
    <col min="2103" max="2103" width="9.88671875" style="88" bestFit="1" customWidth="1"/>
    <col min="2104" max="2305" width="9.109375" style="88" customWidth="1"/>
    <col min="2306" max="2306" width="4.5546875" style="88" customWidth="1"/>
    <col min="2307" max="2307" width="21.109375" style="88" customWidth="1"/>
    <col min="2308" max="2308" width="11.109375" style="88" bestFit="1" customWidth="1"/>
    <col min="2309" max="2316" width="11.5546875" style="88" bestFit="1" customWidth="1"/>
    <col min="2317" max="2317" width="12.44140625" style="88" bestFit="1" customWidth="1"/>
    <col min="2318" max="2318" width="12" style="88" bestFit="1" customWidth="1"/>
    <col min="2319" max="2326" width="12.44140625" style="88" bestFit="1" customWidth="1"/>
    <col min="2327" max="2327" width="12.88671875" style="88" bestFit="1" customWidth="1"/>
    <col min="2328" max="2328" width="12.44140625" style="88" bestFit="1" customWidth="1"/>
    <col min="2329" max="2337" width="12.88671875" style="88" bestFit="1" customWidth="1"/>
    <col min="2338" max="2338" width="12.44140625" style="88" bestFit="1" customWidth="1"/>
    <col min="2339" max="2340" width="12.88671875" style="88" bestFit="1" customWidth="1"/>
    <col min="2341" max="2341" width="10.6640625" style="88" bestFit="1" customWidth="1"/>
    <col min="2342" max="2342" width="13.6640625" style="88" customWidth="1"/>
    <col min="2343" max="2343" width="11.5546875" style="88" bestFit="1" customWidth="1"/>
    <col min="2344" max="2344" width="12.88671875" style="88" customWidth="1"/>
    <col min="2345" max="2345" width="17.88671875" style="88" bestFit="1" customWidth="1"/>
    <col min="2346" max="2347" width="13.109375" style="88" bestFit="1" customWidth="1"/>
    <col min="2348" max="2348" width="11.5546875" style="88" customWidth="1"/>
    <col min="2349" max="2349" width="13.44140625" style="88" bestFit="1" customWidth="1"/>
    <col min="2350" max="2350" width="9.6640625" style="88" customWidth="1"/>
    <col min="2351" max="2351" width="10.6640625" style="88" bestFit="1" customWidth="1"/>
    <col min="2352" max="2352" width="13.5546875" style="88" bestFit="1" customWidth="1"/>
    <col min="2353" max="2353" width="12" style="88" bestFit="1" customWidth="1"/>
    <col min="2354" max="2354" width="12" style="88" customWidth="1"/>
    <col min="2355" max="2355" width="9.33203125" style="88" bestFit="1" customWidth="1"/>
    <col min="2356" max="2356" width="12" style="88" bestFit="1" customWidth="1"/>
    <col min="2357" max="2357" width="13.109375" style="88" customWidth="1"/>
    <col min="2358" max="2358" width="9.109375" style="88" customWidth="1"/>
    <col min="2359" max="2359" width="9.88671875" style="88" bestFit="1" customWidth="1"/>
    <col min="2360" max="2561" width="9.109375" style="88" customWidth="1"/>
    <col min="2562" max="2562" width="4.5546875" style="88" customWidth="1"/>
    <col min="2563" max="2563" width="21.109375" style="88" customWidth="1"/>
    <col min="2564" max="2564" width="11.109375" style="88" bestFit="1" customWidth="1"/>
    <col min="2565" max="2572" width="11.5546875" style="88" bestFit="1" customWidth="1"/>
    <col min="2573" max="2573" width="12.44140625" style="88" bestFit="1" customWidth="1"/>
    <col min="2574" max="2574" width="12" style="88" bestFit="1" customWidth="1"/>
    <col min="2575" max="2582" width="12.44140625" style="88" bestFit="1" customWidth="1"/>
    <col min="2583" max="2583" width="12.88671875" style="88" bestFit="1" customWidth="1"/>
    <col min="2584" max="2584" width="12.44140625" style="88" bestFit="1" customWidth="1"/>
    <col min="2585" max="2593" width="12.88671875" style="88" bestFit="1" customWidth="1"/>
    <col min="2594" max="2594" width="12.44140625" style="88" bestFit="1" customWidth="1"/>
    <col min="2595" max="2596" width="12.88671875" style="88" bestFit="1" customWidth="1"/>
    <col min="2597" max="2597" width="10.6640625" style="88" bestFit="1" customWidth="1"/>
    <col min="2598" max="2598" width="13.6640625" style="88" customWidth="1"/>
    <col min="2599" max="2599" width="11.5546875" style="88" bestFit="1" customWidth="1"/>
    <col min="2600" max="2600" width="12.88671875" style="88" customWidth="1"/>
    <col min="2601" max="2601" width="17.88671875" style="88" bestFit="1" customWidth="1"/>
    <col min="2602" max="2603" width="13.109375" style="88" bestFit="1" customWidth="1"/>
    <col min="2604" max="2604" width="11.5546875" style="88" customWidth="1"/>
    <col min="2605" max="2605" width="13.44140625" style="88" bestFit="1" customWidth="1"/>
    <col min="2606" max="2606" width="9.6640625" style="88" customWidth="1"/>
    <col min="2607" max="2607" width="10.6640625" style="88" bestFit="1" customWidth="1"/>
    <col min="2608" max="2608" width="13.5546875" style="88" bestFit="1" customWidth="1"/>
    <col min="2609" max="2609" width="12" style="88" bestFit="1" customWidth="1"/>
    <col min="2610" max="2610" width="12" style="88" customWidth="1"/>
    <col min="2611" max="2611" width="9.33203125" style="88" bestFit="1" customWidth="1"/>
    <col min="2612" max="2612" width="12" style="88" bestFit="1" customWidth="1"/>
    <col min="2613" max="2613" width="13.109375" style="88" customWidth="1"/>
    <col min="2614" max="2614" width="9.109375" style="88" customWidth="1"/>
    <col min="2615" max="2615" width="9.88671875" style="88" bestFit="1" customWidth="1"/>
    <col min="2616" max="2817" width="9.109375" style="88" customWidth="1"/>
    <col min="2818" max="2818" width="4.5546875" style="88" customWidth="1"/>
    <col min="2819" max="2819" width="21.109375" style="88" customWidth="1"/>
    <col min="2820" max="2820" width="11.109375" style="88" bestFit="1" customWidth="1"/>
    <col min="2821" max="2828" width="11.5546875" style="88" bestFit="1" customWidth="1"/>
    <col min="2829" max="2829" width="12.44140625" style="88" bestFit="1" customWidth="1"/>
    <col min="2830" max="2830" width="12" style="88" bestFit="1" customWidth="1"/>
    <col min="2831" max="2838" width="12.44140625" style="88" bestFit="1" customWidth="1"/>
    <col min="2839" max="2839" width="12.88671875" style="88" bestFit="1" customWidth="1"/>
    <col min="2840" max="2840" width="12.44140625" style="88" bestFit="1" customWidth="1"/>
    <col min="2841" max="2849" width="12.88671875" style="88" bestFit="1" customWidth="1"/>
    <col min="2850" max="2850" width="12.44140625" style="88" bestFit="1" customWidth="1"/>
    <col min="2851" max="2852" width="12.88671875" style="88" bestFit="1" customWidth="1"/>
    <col min="2853" max="2853" width="10.6640625" style="88" bestFit="1" customWidth="1"/>
    <col min="2854" max="2854" width="13.6640625" style="88" customWidth="1"/>
    <col min="2855" max="2855" width="11.5546875" style="88" bestFit="1" customWidth="1"/>
    <col min="2856" max="2856" width="12.88671875" style="88" customWidth="1"/>
    <col min="2857" max="2857" width="17.88671875" style="88" bestFit="1" customWidth="1"/>
    <col min="2858" max="2859" width="13.109375" style="88" bestFit="1" customWidth="1"/>
    <col min="2860" max="2860" width="11.5546875" style="88" customWidth="1"/>
    <col min="2861" max="2861" width="13.44140625" style="88" bestFit="1" customWidth="1"/>
    <col min="2862" max="2862" width="9.6640625" style="88" customWidth="1"/>
    <col min="2863" max="2863" width="10.6640625" style="88" bestFit="1" customWidth="1"/>
    <col min="2864" max="2864" width="13.5546875" style="88" bestFit="1" customWidth="1"/>
    <col min="2865" max="2865" width="12" style="88" bestFit="1" customWidth="1"/>
    <col min="2866" max="2866" width="12" style="88" customWidth="1"/>
    <col min="2867" max="2867" width="9.33203125" style="88" bestFit="1" customWidth="1"/>
    <col min="2868" max="2868" width="12" style="88" bestFit="1" customWidth="1"/>
    <col min="2869" max="2869" width="13.109375" style="88" customWidth="1"/>
    <col min="2870" max="2870" width="9.109375" style="88" customWidth="1"/>
    <col min="2871" max="2871" width="9.88671875" style="88" bestFit="1" customWidth="1"/>
    <col min="2872" max="3073" width="9.109375" style="88" customWidth="1"/>
    <col min="3074" max="3074" width="4.5546875" style="88" customWidth="1"/>
    <col min="3075" max="3075" width="21.109375" style="88" customWidth="1"/>
    <col min="3076" max="3076" width="11.109375" style="88" bestFit="1" customWidth="1"/>
    <col min="3077" max="3084" width="11.5546875" style="88" bestFit="1" customWidth="1"/>
    <col min="3085" max="3085" width="12.44140625" style="88" bestFit="1" customWidth="1"/>
    <col min="3086" max="3086" width="12" style="88" bestFit="1" customWidth="1"/>
    <col min="3087" max="3094" width="12.44140625" style="88" bestFit="1" customWidth="1"/>
    <col min="3095" max="3095" width="12.88671875" style="88" bestFit="1" customWidth="1"/>
    <col min="3096" max="3096" width="12.44140625" style="88" bestFit="1" customWidth="1"/>
    <col min="3097" max="3105" width="12.88671875" style="88" bestFit="1" customWidth="1"/>
    <col min="3106" max="3106" width="12.44140625" style="88" bestFit="1" customWidth="1"/>
    <col min="3107" max="3108" width="12.88671875" style="88" bestFit="1" customWidth="1"/>
    <col min="3109" max="3109" width="10.6640625" style="88" bestFit="1" customWidth="1"/>
    <col min="3110" max="3110" width="13.6640625" style="88" customWidth="1"/>
    <col min="3111" max="3111" width="11.5546875" style="88" bestFit="1" customWidth="1"/>
    <col min="3112" max="3112" width="12.88671875" style="88" customWidth="1"/>
    <col min="3113" max="3113" width="17.88671875" style="88" bestFit="1" customWidth="1"/>
    <col min="3114" max="3115" width="13.109375" style="88" bestFit="1" customWidth="1"/>
    <col min="3116" max="3116" width="11.5546875" style="88" customWidth="1"/>
    <col min="3117" max="3117" width="13.44140625" style="88" bestFit="1" customWidth="1"/>
    <col min="3118" max="3118" width="9.6640625" style="88" customWidth="1"/>
    <col min="3119" max="3119" width="10.6640625" style="88" bestFit="1" customWidth="1"/>
    <col min="3120" max="3120" width="13.5546875" style="88" bestFit="1" customWidth="1"/>
    <col min="3121" max="3121" width="12" style="88" bestFit="1" customWidth="1"/>
    <col min="3122" max="3122" width="12" style="88" customWidth="1"/>
    <col min="3123" max="3123" width="9.33203125" style="88" bestFit="1" customWidth="1"/>
    <col min="3124" max="3124" width="12" style="88" bestFit="1" customWidth="1"/>
    <col min="3125" max="3125" width="13.109375" style="88" customWidth="1"/>
    <col min="3126" max="3126" width="9.109375" style="88" customWidth="1"/>
    <col min="3127" max="3127" width="9.88671875" style="88" bestFit="1" customWidth="1"/>
    <col min="3128" max="3329" width="9.109375" style="88" customWidth="1"/>
    <col min="3330" max="3330" width="4.5546875" style="88" customWidth="1"/>
    <col min="3331" max="3331" width="21.109375" style="88" customWidth="1"/>
    <col min="3332" max="3332" width="11.109375" style="88" bestFit="1" customWidth="1"/>
    <col min="3333" max="3340" width="11.5546875" style="88" bestFit="1" customWidth="1"/>
    <col min="3341" max="3341" width="12.44140625" style="88" bestFit="1" customWidth="1"/>
    <col min="3342" max="3342" width="12" style="88" bestFit="1" customWidth="1"/>
    <col min="3343" max="3350" width="12.44140625" style="88" bestFit="1" customWidth="1"/>
    <col min="3351" max="3351" width="12.88671875" style="88" bestFit="1" customWidth="1"/>
    <col min="3352" max="3352" width="12.44140625" style="88" bestFit="1" customWidth="1"/>
    <col min="3353" max="3361" width="12.88671875" style="88" bestFit="1" customWidth="1"/>
    <col min="3362" max="3362" width="12.44140625" style="88" bestFit="1" customWidth="1"/>
    <col min="3363" max="3364" width="12.88671875" style="88" bestFit="1" customWidth="1"/>
    <col min="3365" max="3365" width="10.6640625" style="88" bestFit="1" customWidth="1"/>
    <col min="3366" max="3366" width="13.6640625" style="88" customWidth="1"/>
    <col min="3367" max="3367" width="11.5546875" style="88" bestFit="1" customWidth="1"/>
    <col min="3368" max="3368" width="12.88671875" style="88" customWidth="1"/>
    <col min="3369" max="3369" width="17.88671875" style="88" bestFit="1" customWidth="1"/>
    <col min="3370" max="3371" width="13.109375" style="88" bestFit="1" customWidth="1"/>
    <col min="3372" max="3372" width="11.5546875" style="88" customWidth="1"/>
    <col min="3373" max="3373" width="13.44140625" style="88" bestFit="1" customWidth="1"/>
    <col min="3374" max="3374" width="9.6640625" style="88" customWidth="1"/>
    <col min="3375" max="3375" width="10.6640625" style="88" bestFit="1" customWidth="1"/>
    <col min="3376" max="3376" width="13.5546875" style="88" bestFit="1" customWidth="1"/>
    <col min="3377" max="3377" width="12" style="88" bestFit="1" customWidth="1"/>
    <col min="3378" max="3378" width="12" style="88" customWidth="1"/>
    <col min="3379" max="3379" width="9.33203125" style="88" bestFit="1" customWidth="1"/>
    <col min="3380" max="3380" width="12" style="88" bestFit="1" customWidth="1"/>
    <col min="3381" max="3381" width="13.109375" style="88" customWidth="1"/>
    <col min="3382" max="3382" width="9.109375" style="88" customWidth="1"/>
    <col min="3383" max="3383" width="9.88671875" style="88" bestFit="1" customWidth="1"/>
    <col min="3384" max="3585" width="9.109375" style="88" customWidth="1"/>
    <col min="3586" max="3586" width="4.5546875" style="88" customWidth="1"/>
    <col min="3587" max="3587" width="21.109375" style="88" customWidth="1"/>
    <col min="3588" max="3588" width="11.109375" style="88" bestFit="1" customWidth="1"/>
    <col min="3589" max="3596" width="11.5546875" style="88" bestFit="1" customWidth="1"/>
    <col min="3597" max="3597" width="12.44140625" style="88" bestFit="1" customWidth="1"/>
    <col min="3598" max="3598" width="12" style="88" bestFit="1" customWidth="1"/>
    <col min="3599" max="3606" width="12.44140625" style="88" bestFit="1" customWidth="1"/>
    <col min="3607" max="3607" width="12.88671875" style="88" bestFit="1" customWidth="1"/>
    <col min="3608" max="3608" width="12.44140625" style="88" bestFit="1" customWidth="1"/>
    <col min="3609" max="3617" width="12.88671875" style="88" bestFit="1" customWidth="1"/>
    <col min="3618" max="3618" width="12.44140625" style="88" bestFit="1" customWidth="1"/>
    <col min="3619" max="3620" width="12.88671875" style="88" bestFit="1" customWidth="1"/>
    <col min="3621" max="3621" width="10.6640625" style="88" bestFit="1" customWidth="1"/>
    <col min="3622" max="3622" width="13.6640625" style="88" customWidth="1"/>
    <col min="3623" max="3623" width="11.5546875" style="88" bestFit="1" customWidth="1"/>
    <col min="3624" max="3624" width="12.88671875" style="88" customWidth="1"/>
    <col min="3625" max="3625" width="17.88671875" style="88" bestFit="1" customWidth="1"/>
    <col min="3626" max="3627" width="13.109375" style="88" bestFit="1" customWidth="1"/>
    <col min="3628" max="3628" width="11.5546875" style="88" customWidth="1"/>
    <col min="3629" max="3629" width="13.44140625" style="88" bestFit="1" customWidth="1"/>
    <col min="3630" max="3630" width="9.6640625" style="88" customWidth="1"/>
    <col min="3631" max="3631" width="10.6640625" style="88" bestFit="1" customWidth="1"/>
    <col min="3632" max="3632" width="13.5546875" style="88" bestFit="1" customWidth="1"/>
    <col min="3633" max="3633" width="12" style="88" bestFit="1" customWidth="1"/>
    <col min="3634" max="3634" width="12" style="88" customWidth="1"/>
    <col min="3635" max="3635" width="9.33203125" style="88" bestFit="1" customWidth="1"/>
    <col min="3636" max="3636" width="12" style="88" bestFit="1" customWidth="1"/>
    <col min="3637" max="3637" width="13.109375" style="88" customWidth="1"/>
    <col min="3638" max="3638" width="9.109375" style="88" customWidth="1"/>
    <col min="3639" max="3639" width="9.88671875" style="88" bestFit="1" customWidth="1"/>
    <col min="3640" max="3841" width="9.109375" style="88" customWidth="1"/>
    <col min="3842" max="3842" width="4.5546875" style="88" customWidth="1"/>
    <col min="3843" max="3843" width="21.109375" style="88" customWidth="1"/>
    <col min="3844" max="3844" width="11.109375" style="88" bestFit="1" customWidth="1"/>
    <col min="3845" max="3852" width="11.5546875" style="88" bestFit="1" customWidth="1"/>
    <col min="3853" max="3853" width="12.44140625" style="88" bestFit="1" customWidth="1"/>
    <col min="3854" max="3854" width="12" style="88" bestFit="1" customWidth="1"/>
    <col min="3855" max="3862" width="12.44140625" style="88" bestFit="1" customWidth="1"/>
    <col min="3863" max="3863" width="12.88671875" style="88" bestFit="1" customWidth="1"/>
    <col min="3864" max="3864" width="12.44140625" style="88" bestFit="1" customWidth="1"/>
    <col min="3865" max="3873" width="12.88671875" style="88" bestFit="1" customWidth="1"/>
    <col min="3874" max="3874" width="12.44140625" style="88" bestFit="1" customWidth="1"/>
    <col min="3875" max="3876" width="12.88671875" style="88" bestFit="1" customWidth="1"/>
    <col min="3877" max="3877" width="10.6640625" style="88" bestFit="1" customWidth="1"/>
    <col min="3878" max="3878" width="13.6640625" style="88" customWidth="1"/>
    <col min="3879" max="3879" width="11.5546875" style="88" bestFit="1" customWidth="1"/>
    <col min="3880" max="3880" width="12.88671875" style="88" customWidth="1"/>
    <col min="3881" max="3881" width="17.88671875" style="88" bestFit="1" customWidth="1"/>
    <col min="3882" max="3883" width="13.109375" style="88" bestFit="1" customWidth="1"/>
    <col min="3884" max="3884" width="11.5546875" style="88" customWidth="1"/>
    <col min="3885" max="3885" width="13.44140625" style="88" bestFit="1" customWidth="1"/>
    <col min="3886" max="3886" width="9.6640625" style="88" customWidth="1"/>
    <col min="3887" max="3887" width="10.6640625" style="88" bestFit="1" customWidth="1"/>
    <col min="3888" max="3888" width="13.5546875" style="88" bestFit="1" customWidth="1"/>
    <col min="3889" max="3889" width="12" style="88" bestFit="1" customWidth="1"/>
    <col min="3890" max="3890" width="12" style="88" customWidth="1"/>
    <col min="3891" max="3891" width="9.33203125" style="88" bestFit="1" customWidth="1"/>
    <col min="3892" max="3892" width="12" style="88" bestFit="1" customWidth="1"/>
    <col min="3893" max="3893" width="13.109375" style="88" customWidth="1"/>
    <col min="3894" max="3894" width="9.109375" style="88" customWidth="1"/>
    <col min="3895" max="3895" width="9.88671875" style="88" bestFit="1" customWidth="1"/>
    <col min="3896" max="4097" width="9.109375" style="88" customWidth="1"/>
    <col min="4098" max="4098" width="4.5546875" style="88" customWidth="1"/>
    <col min="4099" max="4099" width="21.109375" style="88" customWidth="1"/>
    <col min="4100" max="4100" width="11.109375" style="88" bestFit="1" customWidth="1"/>
    <col min="4101" max="4108" width="11.5546875" style="88" bestFit="1" customWidth="1"/>
    <col min="4109" max="4109" width="12.44140625" style="88" bestFit="1" customWidth="1"/>
    <col min="4110" max="4110" width="12" style="88" bestFit="1" customWidth="1"/>
    <col min="4111" max="4118" width="12.44140625" style="88" bestFit="1" customWidth="1"/>
    <col min="4119" max="4119" width="12.88671875" style="88" bestFit="1" customWidth="1"/>
    <col min="4120" max="4120" width="12.44140625" style="88" bestFit="1" customWidth="1"/>
    <col min="4121" max="4129" width="12.88671875" style="88" bestFit="1" customWidth="1"/>
    <col min="4130" max="4130" width="12.44140625" style="88" bestFit="1" customWidth="1"/>
    <col min="4131" max="4132" width="12.88671875" style="88" bestFit="1" customWidth="1"/>
    <col min="4133" max="4133" width="10.6640625" style="88" bestFit="1" customWidth="1"/>
    <col min="4134" max="4134" width="13.6640625" style="88" customWidth="1"/>
    <col min="4135" max="4135" width="11.5546875" style="88" bestFit="1" customWidth="1"/>
    <col min="4136" max="4136" width="12.88671875" style="88" customWidth="1"/>
    <col min="4137" max="4137" width="17.88671875" style="88" bestFit="1" customWidth="1"/>
    <col min="4138" max="4139" width="13.109375" style="88" bestFit="1" customWidth="1"/>
    <col min="4140" max="4140" width="11.5546875" style="88" customWidth="1"/>
    <col min="4141" max="4141" width="13.44140625" style="88" bestFit="1" customWidth="1"/>
    <col min="4142" max="4142" width="9.6640625" style="88" customWidth="1"/>
    <col min="4143" max="4143" width="10.6640625" style="88" bestFit="1" customWidth="1"/>
    <col min="4144" max="4144" width="13.5546875" style="88" bestFit="1" customWidth="1"/>
    <col min="4145" max="4145" width="12" style="88" bestFit="1" customWidth="1"/>
    <col min="4146" max="4146" width="12" style="88" customWidth="1"/>
    <col min="4147" max="4147" width="9.33203125" style="88" bestFit="1" customWidth="1"/>
    <col min="4148" max="4148" width="12" style="88" bestFit="1" customWidth="1"/>
    <col min="4149" max="4149" width="13.109375" style="88" customWidth="1"/>
    <col min="4150" max="4150" width="9.109375" style="88" customWidth="1"/>
    <col min="4151" max="4151" width="9.88671875" style="88" bestFit="1" customWidth="1"/>
    <col min="4152" max="4353" width="9.109375" style="88" customWidth="1"/>
    <col min="4354" max="4354" width="4.5546875" style="88" customWidth="1"/>
    <col min="4355" max="4355" width="21.109375" style="88" customWidth="1"/>
    <col min="4356" max="4356" width="11.109375" style="88" bestFit="1" customWidth="1"/>
    <col min="4357" max="4364" width="11.5546875" style="88" bestFit="1" customWidth="1"/>
    <col min="4365" max="4365" width="12.44140625" style="88" bestFit="1" customWidth="1"/>
    <col min="4366" max="4366" width="12" style="88" bestFit="1" customWidth="1"/>
    <col min="4367" max="4374" width="12.44140625" style="88" bestFit="1" customWidth="1"/>
    <col min="4375" max="4375" width="12.88671875" style="88" bestFit="1" customWidth="1"/>
    <col min="4376" max="4376" width="12.44140625" style="88" bestFit="1" customWidth="1"/>
    <col min="4377" max="4385" width="12.88671875" style="88" bestFit="1" customWidth="1"/>
    <col min="4386" max="4386" width="12.44140625" style="88" bestFit="1" customWidth="1"/>
    <col min="4387" max="4388" width="12.88671875" style="88" bestFit="1" customWidth="1"/>
    <col min="4389" max="4389" width="10.6640625" style="88" bestFit="1" customWidth="1"/>
    <col min="4390" max="4390" width="13.6640625" style="88" customWidth="1"/>
    <col min="4391" max="4391" width="11.5546875" style="88" bestFit="1" customWidth="1"/>
    <col min="4392" max="4392" width="12.88671875" style="88" customWidth="1"/>
    <col min="4393" max="4393" width="17.88671875" style="88" bestFit="1" customWidth="1"/>
    <col min="4394" max="4395" width="13.109375" style="88" bestFit="1" customWidth="1"/>
    <col min="4396" max="4396" width="11.5546875" style="88" customWidth="1"/>
    <col min="4397" max="4397" width="13.44140625" style="88" bestFit="1" customWidth="1"/>
    <col min="4398" max="4398" width="9.6640625" style="88" customWidth="1"/>
    <col min="4399" max="4399" width="10.6640625" style="88" bestFit="1" customWidth="1"/>
    <col min="4400" max="4400" width="13.5546875" style="88" bestFit="1" customWidth="1"/>
    <col min="4401" max="4401" width="12" style="88" bestFit="1" customWidth="1"/>
    <col min="4402" max="4402" width="12" style="88" customWidth="1"/>
    <col min="4403" max="4403" width="9.33203125" style="88" bestFit="1" customWidth="1"/>
    <col min="4404" max="4404" width="12" style="88" bestFit="1" customWidth="1"/>
    <col min="4405" max="4405" width="13.109375" style="88" customWidth="1"/>
    <col min="4406" max="4406" width="9.109375" style="88" customWidth="1"/>
    <col min="4407" max="4407" width="9.88671875" style="88" bestFit="1" customWidth="1"/>
    <col min="4408" max="4609" width="9.109375" style="88" customWidth="1"/>
    <col min="4610" max="4610" width="4.5546875" style="88" customWidth="1"/>
    <col min="4611" max="4611" width="21.109375" style="88" customWidth="1"/>
    <col min="4612" max="4612" width="11.109375" style="88" bestFit="1" customWidth="1"/>
    <col min="4613" max="4620" width="11.5546875" style="88" bestFit="1" customWidth="1"/>
    <col min="4621" max="4621" width="12.44140625" style="88" bestFit="1" customWidth="1"/>
    <col min="4622" max="4622" width="12" style="88" bestFit="1" customWidth="1"/>
    <col min="4623" max="4630" width="12.44140625" style="88" bestFit="1" customWidth="1"/>
    <col min="4631" max="4631" width="12.88671875" style="88" bestFit="1" customWidth="1"/>
    <col min="4632" max="4632" width="12.44140625" style="88" bestFit="1" customWidth="1"/>
    <col min="4633" max="4641" width="12.88671875" style="88" bestFit="1" customWidth="1"/>
    <col min="4642" max="4642" width="12.44140625" style="88" bestFit="1" customWidth="1"/>
    <col min="4643" max="4644" width="12.88671875" style="88" bestFit="1" customWidth="1"/>
    <col min="4645" max="4645" width="10.6640625" style="88" bestFit="1" customWidth="1"/>
    <col min="4646" max="4646" width="13.6640625" style="88" customWidth="1"/>
    <col min="4647" max="4647" width="11.5546875" style="88" bestFit="1" customWidth="1"/>
    <col min="4648" max="4648" width="12.88671875" style="88" customWidth="1"/>
    <col min="4649" max="4649" width="17.88671875" style="88" bestFit="1" customWidth="1"/>
    <col min="4650" max="4651" width="13.109375" style="88" bestFit="1" customWidth="1"/>
    <col min="4652" max="4652" width="11.5546875" style="88" customWidth="1"/>
    <col min="4653" max="4653" width="13.44140625" style="88" bestFit="1" customWidth="1"/>
    <col min="4654" max="4654" width="9.6640625" style="88" customWidth="1"/>
    <col min="4655" max="4655" width="10.6640625" style="88" bestFit="1" customWidth="1"/>
    <col min="4656" max="4656" width="13.5546875" style="88" bestFit="1" customWidth="1"/>
    <col min="4657" max="4657" width="12" style="88" bestFit="1" customWidth="1"/>
    <col min="4658" max="4658" width="12" style="88" customWidth="1"/>
    <col min="4659" max="4659" width="9.33203125" style="88" bestFit="1" customWidth="1"/>
    <col min="4660" max="4660" width="12" style="88" bestFit="1" customWidth="1"/>
    <col min="4661" max="4661" width="13.109375" style="88" customWidth="1"/>
    <col min="4662" max="4662" width="9.109375" style="88" customWidth="1"/>
    <col min="4663" max="4663" width="9.88671875" style="88" bestFit="1" customWidth="1"/>
    <col min="4664" max="4865" width="9.109375" style="88" customWidth="1"/>
    <col min="4866" max="4866" width="4.5546875" style="88" customWidth="1"/>
    <col min="4867" max="4867" width="21.109375" style="88" customWidth="1"/>
    <col min="4868" max="4868" width="11.109375" style="88" bestFit="1" customWidth="1"/>
    <col min="4869" max="4876" width="11.5546875" style="88" bestFit="1" customWidth="1"/>
    <col min="4877" max="4877" width="12.44140625" style="88" bestFit="1" customWidth="1"/>
    <col min="4878" max="4878" width="12" style="88" bestFit="1" customWidth="1"/>
    <col min="4879" max="4886" width="12.44140625" style="88" bestFit="1" customWidth="1"/>
    <col min="4887" max="4887" width="12.88671875" style="88" bestFit="1" customWidth="1"/>
    <col min="4888" max="4888" width="12.44140625" style="88" bestFit="1" customWidth="1"/>
    <col min="4889" max="4897" width="12.88671875" style="88" bestFit="1" customWidth="1"/>
    <col min="4898" max="4898" width="12.44140625" style="88" bestFit="1" customWidth="1"/>
    <col min="4899" max="4900" width="12.88671875" style="88" bestFit="1" customWidth="1"/>
    <col min="4901" max="4901" width="10.6640625" style="88" bestFit="1" customWidth="1"/>
    <col min="4902" max="4902" width="13.6640625" style="88" customWidth="1"/>
    <col min="4903" max="4903" width="11.5546875" style="88" bestFit="1" customWidth="1"/>
    <col min="4904" max="4904" width="12.88671875" style="88" customWidth="1"/>
    <col min="4905" max="4905" width="17.88671875" style="88" bestFit="1" customWidth="1"/>
    <col min="4906" max="4907" width="13.109375" style="88" bestFit="1" customWidth="1"/>
    <col min="4908" max="4908" width="11.5546875" style="88" customWidth="1"/>
    <col min="4909" max="4909" width="13.44140625" style="88" bestFit="1" customWidth="1"/>
    <col min="4910" max="4910" width="9.6640625" style="88" customWidth="1"/>
    <col min="4911" max="4911" width="10.6640625" style="88" bestFit="1" customWidth="1"/>
    <col min="4912" max="4912" width="13.5546875" style="88" bestFit="1" customWidth="1"/>
    <col min="4913" max="4913" width="12" style="88" bestFit="1" customWidth="1"/>
    <col min="4914" max="4914" width="12" style="88" customWidth="1"/>
    <col min="4915" max="4915" width="9.33203125" style="88" bestFit="1" customWidth="1"/>
    <col min="4916" max="4916" width="12" style="88" bestFit="1" customWidth="1"/>
    <col min="4917" max="4917" width="13.109375" style="88" customWidth="1"/>
    <col min="4918" max="4918" width="9.109375" style="88" customWidth="1"/>
    <col min="4919" max="4919" width="9.88671875" style="88" bestFit="1" customWidth="1"/>
    <col min="4920" max="5121" width="9.109375" style="88" customWidth="1"/>
    <col min="5122" max="5122" width="4.5546875" style="88" customWidth="1"/>
    <col min="5123" max="5123" width="21.109375" style="88" customWidth="1"/>
    <col min="5124" max="5124" width="11.109375" style="88" bestFit="1" customWidth="1"/>
    <col min="5125" max="5132" width="11.5546875" style="88" bestFit="1" customWidth="1"/>
    <col min="5133" max="5133" width="12.44140625" style="88" bestFit="1" customWidth="1"/>
    <col min="5134" max="5134" width="12" style="88" bestFit="1" customWidth="1"/>
    <col min="5135" max="5142" width="12.44140625" style="88" bestFit="1" customWidth="1"/>
    <col min="5143" max="5143" width="12.88671875" style="88" bestFit="1" customWidth="1"/>
    <col min="5144" max="5144" width="12.44140625" style="88" bestFit="1" customWidth="1"/>
    <col min="5145" max="5153" width="12.88671875" style="88" bestFit="1" customWidth="1"/>
    <col min="5154" max="5154" width="12.44140625" style="88" bestFit="1" customWidth="1"/>
    <col min="5155" max="5156" width="12.88671875" style="88" bestFit="1" customWidth="1"/>
    <col min="5157" max="5157" width="10.6640625" style="88" bestFit="1" customWidth="1"/>
    <col min="5158" max="5158" width="13.6640625" style="88" customWidth="1"/>
    <col min="5159" max="5159" width="11.5546875" style="88" bestFit="1" customWidth="1"/>
    <col min="5160" max="5160" width="12.88671875" style="88" customWidth="1"/>
    <col min="5161" max="5161" width="17.88671875" style="88" bestFit="1" customWidth="1"/>
    <col min="5162" max="5163" width="13.109375" style="88" bestFit="1" customWidth="1"/>
    <col min="5164" max="5164" width="11.5546875" style="88" customWidth="1"/>
    <col min="5165" max="5165" width="13.44140625" style="88" bestFit="1" customWidth="1"/>
    <col min="5166" max="5166" width="9.6640625" style="88" customWidth="1"/>
    <col min="5167" max="5167" width="10.6640625" style="88" bestFit="1" customWidth="1"/>
    <col min="5168" max="5168" width="13.5546875" style="88" bestFit="1" customWidth="1"/>
    <col min="5169" max="5169" width="12" style="88" bestFit="1" customWidth="1"/>
    <col min="5170" max="5170" width="12" style="88" customWidth="1"/>
    <col min="5171" max="5171" width="9.33203125" style="88" bestFit="1" customWidth="1"/>
    <col min="5172" max="5172" width="12" style="88" bestFit="1" customWidth="1"/>
    <col min="5173" max="5173" width="13.109375" style="88" customWidth="1"/>
    <col min="5174" max="5174" width="9.109375" style="88" customWidth="1"/>
    <col min="5175" max="5175" width="9.88671875" style="88" bestFit="1" customWidth="1"/>
    <col min="5176" max="5377" width="9.109375" style="88" customWidth="1"/>
    <col min="5378" max="5378" width="4.5546875" style="88" customWidth="1"/>
    <col min="5379" max="5379" width="21.109375" style="88" customWidth="1"/>
    <col min="5380" max="5380" width="11.109375" style="88" bestFit="1" customWidth="1"/>
    <col min="5381" max="5388" width="11.5546875" style="88" bestFit="1" customWidth="1"/>
    <col min="5389" max="5389" width="12.44140625" style="88" bestFit="1" customWidth="1"/>
    <col min="5390" max="5390" width="12" style="88" bestFit="1" customWidth="1"/>
    <col min="5391" max="5398" width="12.44140625" style="88" bestFit="1" customWidth="1"/>
    <col min="5399" max="5399" width="12.88671875" style="88" bestFit="1" customWidth="1"/>
    <col min="5400" max="5400" width="12.44140625" style="88" bestFit="1" customWidth="1"/>
    <col min="5401" max="5409" width="12.88671875" style="88" bestFit="1" customWidth="1"/>
    <col min="5410" max="5410" width="12.44140625" style="88" bestFit="1" customWidth="1"/>
    <col min="5411" max="5412" width="12.88671875" style="88" bestFit="1" customWidth="1"/>
    <col min="5413" max="5413" width="10.6640625" style="88" bestFit="1" customWidth="1"/>
    <col min="5414" max="5414" width="13.6640625" style="88" customWidth="1"/>
    <col min="5415" max="5415" width="11.5546875" style="88" bestFit="1" customWidth="1"/>
    <col min="5416" max="5416" width="12.88671875" style="88" customWidth="1"/>
    <col min="5417" max="5417" width="17.88671875" style="88" bestFit="1" customWidth="1"/>
    <col min="5418" max="5419" width="13.109375" style="88" bestFit="1" customWidth="1"/>
    <col min="5420" max="5420" width="11.5546875" style="88" customWidth="1"/>
    <col min="5421" max="5421" width="13.44140625" style="88" bestFit="1" customWidth="1"/>
    <col min="5422" max="5422" width="9.6640625" style="88" customWidth="1"/>
    <col min="5423" max="5423" width="10.6640625" style="88" bestFit="1" customWidth="1"/>
    <col min="5424" max="5424" width="13.5546875" style="88" bestFit="1" customWidth="1"/>
    <col min="5425" max="5425" width="12" style="88" bestFit="1" customWidth="1"/>
    <col min="5426" max="5426" width="12" style="88" customWidth="1"/>
    <col min="5427" max="5427" width="9.33203125" style="88" bestFit="1" customWidth="1"/>
    <col min="5428" max="5428" width="12" style="88" bestFit="1" customWidth="1"/>
    <col min="5429" max="5429" width="13.109375" style="88" customWidth="1"/>
    <col min="5430" max="5430" width="9.109375" style="88" customWidth="1"/>
    <col min="5431" max="5431" width="9.88671875" style="88" bestFit="1" customWidth="1"/>
    <col min="5432" max="5633" width="9.109375" style="88" customWidth="1"/>
    <col min="5634" max="5634" width="4.5546875" style="88" customWidth="1"/>
    <col min="5635" max="5635" width="21.109375" style="88" customWidth="1"/>
    <col min="5636" max="5636" width="11.109375" style="88" bestFit="1" customWidth="1"/>
    <col min="5637" max="5644" width="11.5546875" style="88" bestFit="1" customWidth="1"/>
    <col min="5645" max="5645" width="12.44140625" style="88" bestFit="1" customWidth="1"/>
    <col min="5646" max="5646" width="12" style="88" bestFit="1" customWidth="1"/>
    <col min="5647" max="5654" width="12.44140625" style="88" bestFit="1" customWidth="1"/>
    <col min="5655" max="5655" width="12.88671875" style="88" bestFit="1" customWidth="1"/>
    <col min="5656" max="5656" width="12.44140625" style="88" bestFit="1" customWidth="1"/>
    <col min="5657" max="5665" width="12.88671875" style="88" bestFit="1" customWidth="1"/>
    <col min="5666" max="5666" width="12.44140625" style="88" bestFit="1" customWidth="1"/>
    <col min="5667" max="5668" width="12.88671875" style="88" bestFit="1" customWidth="1"/>
    <col min="5669" max="5669" width="10.6640625" style="88" bestFit="1" customWidth="1"/>
    <col min="5670" max="5670" width="13.6640625" style="88" customWidth="1"/>
    <col min="5671" max="5671" width="11.5546875" style="88" bestFit="1" customWidth="1"/>
    <col min="5672" max="5672" width="12.88671875" style="88" customWidth="1"/>
    <col min="5673" max="5673" width="17.88671875" style="88" bestFit="1" customWidth="1"/>
    <col min="5674" max="5675" width="13.109375" style="88" bestFit="1" customWidth="1"/>
    <col min="5676" max="5676" width="11.5546875" style="88" customWidth="1"/>
    <col min="5677" max="5677" width="13.44140625" style="88" bestFit="1" customWidth="1"/>
    <col min="5678" max="5678" width="9.6640625" style="88" customWidth="1"/>
    <col min="5679" max="5679" width="10.6640625" style="88" bestFit="1" customWidth="1"/>
    <col min="5680" max="5680" width="13.5546875" style="88" bestFit="1" customWidth="1"/>
    <col min="5681" max="5681" width="12" style="88" bestFit="1" customWidth="1"/>
    <col min="5682" max="5682" width="12" style="88" customWidth="1"/>
    <col min="5683" max="5683" width="9.33203125" style="88" bestFit="1" customWidth="1"/>
    <col min="5684" max="5684" width="12" style="88" bestFit="1" customWidth="1"/>
    <col min="5685" max="5685" width="13.109375" style="88" customWidth="1"/>
    <col min="5686" max="5686" width="9.109375" style="88" customWidth="1"/>
    <col min="5687" max="5687" width="9.88671875" style="88" bestFit="1" customWidth="1"/>
    <col min="5688" max="5889" width="9.109375" style="88" customWidth="1"/>
    <col min="5890" max="5890" width="4.5546875" style="88" customWidth="1"/>
    <col min="5891" max="5891" width="21.109375" style="88" customWidth="1"/>
    <col min="5892" max="5892" width="11.109375" style="88" bestFit="1" customWidth="1"/>
    <col min="5893" max="5900" width="11.5546875" style="88" bestFit="1" customWidth="1"/>
    <col min="5901" max="5901" width="12.44140625" style="88" bestFit="1" customWidth="1"/>
    <col min="5902" max="5902" width="12" style="88" bestFit="1" customWidth="1"/>
    <col min="5903" max="5910" width="12.44140625" style="88" bestFit="1" customWidth="1"/>
    <col min="5911" max="5911" width="12.88671875" style="88" bestFit="1" customWidth="1"/>
    <col min="5912" max="5912" width="12.44140625" style="88" bestFit="1" customWidth="1"/>
    <col min="5913" max="5921" width="12.88671875" style="88" bestFit="1" customWidth="1"/>
    <col min="5922" max="5922" width="12.44140625" style="88" bestFit="1" customWidth="1"/>
    <col min="5923" max="5924" width="12.88671875" style="88" bestFit="1" customWidth="1"/>
    <col min="5925" max="5925" width="10.6640625" style="88" bestFit="1" customWidth="1"/>
    <col min="5926" max="5926" width="13.6640625" style="88" customWidth="1"/>
    <col min="5927" max="5927" width="11.5546875" style="88" bestFit="1" customWidth="1"/>
    <col min="5928" max="5928" width="12.88671875" style="88" customWidth="1"/>
    <col min="5929" max="5929" width="17.88671875" style="88" bestFit="1" customWidth="1"/>
    <col min="5930" max="5931" width="13.109375" style="88" bestFit="1" customWidth="1"/>
    <col min="5932" max="5932" width="11.5546875" style="88" customWidth="1"/>
    <col min="5933" max="5933" width="13.44140625" style="88" bestFit="1" customWidth="1"/>
    <col min="5934" max="5934" width="9.6640625" style="88" customWidth="1"/>
    <col min="5935" max="5935" width="10.6640625" style="88" bestFit="1" customWidth="1"/>
    <col min="5936" max="5936" width="13.5546875" style="88" bestFit="1" customWidth="1"/>
    <col min="5937" max="5937" width="12" style="88" bestFit="1" customWidth="1"/>
    <col min="5938" max="5938" width="12" style="88" customWidth="1"/>
    <col min="5939" max="5939" width="9.33203125" style="88" bestFit="1" customWidth="1"/>
    <col min="5940" max="5940" width="12" style="88" bestFit="1" customWidth="1"/>
    <col min="5941" max="5941" width="13.109375" style="88" customWidth="1"/>
    <col min="5942" max="5942" width="9.109375" style="88" customWidth="1"/>
    <col min="5943" max="5943" width="9.88671875" style="88" bestFit="1" customWidth="1"/>
    <col min="5944" max="6145" width="9.109375" style="88" customWidth="1"/>
    <col min="6146" max="6146" width="4.5546875" style="88" customWidth="1"/>
    <col min="6147" max="6147" width="21.109375" style="88" customWidth="1"/>
    <col min="6148" max="6148" width="11.109375" style="88" bestFit="1" customWidth="1"/>
    <col min="6149" max="6156" width="11.5546875" style="88" bestFit="1" customWidth="1"/>
    <col min="6157" max="6157" width="12.44140625" style="88" bestFit="1" customWidth="1"/>
    <col min="6158" max="6158" width="12" style="88" bestFit="1" customWidth="1"/>
    <col min="6159" max="6166" width="12.44140625" style="88" bestFit="1" customWidth="1"/>
    <col min="6167" max="6167" width="12.88671875" style="88" bestFit="1" customWidth="1"/>
    <col min="6168" max="6168" width="12.44140625" style="88" bestFit="1" customWidth="1"/>
    <col min="6169" max="6177" width="12.88671875" style="88" bestFit="1" customWidth="1"/>
    <col min="6178" max="6178" width="12.44140625" style="88" bestFit="1" customWidth="1"/>
    <col min="6179" max="6180" width="12.88671875" style="88" bestFit="1" customWidth="1"/>
    <col min="6181" max="6181" width="10.6640625" style="88" bestFit="1" customWidth="1"/>
    <col min="6182" max="6182" width="13.6640625" style="88" customWidth="1"/>
    <col min="6183" max="6183" width="11.5546875" style="88" bestFit="1" customWidth="1"/>
    <col min="6184" max="6184" width="12.88671875" style="88" customWidth="1"/>
    <col min="6185" max="6185" width="17.88671875" style="88" bestFit="1" customWidth="1"/>
    <col min="6186" max="6187" width="13.109375" style="88" bestFit="1" customWidth="1"/>
    <col min="6188" max="6188" width="11.5546875" style="88" customWidth="1"/>
    <col min="6189" max="6189" width="13.44140625" style="88" bestFit="1" customWidth="1"/>
    <col min="6190" max="6190" width="9.6640625" style="88" customWidth="1"/>
    <col min="6191" max="6191" width="10.6640625" style="88" bestFit="1" customWidth="1"/>
    <col min="6192" max="6192" width="13.5546875" style="88" bestFit="1" customWidth="1"/>
    <col min="6193" max="6193" width="12" style="88" bestFit="1" customWidth="1"/>
    <col min="6194" max="6194" width="12" style="88" customWidth="1"/>
    <col min="6195" max="6195" width="9.33203125" style="88" bestFit="1" customWidth="1"/>
    <col min="6196" max="6196" width="12" style="88" bestFit="1" customWidth="1"/>
    <col min="6197" max="6197" width="13.109375" style="88" customWidth="1"/>
    <col min="6198" max="6198" width="9.109375" style="88" customWidth="1"/>
    <col min="6199" max="6199" width="9.88671875" style="88" bestFit="1" customWidth="1"/>
    <col min="6200" max="6401" width="9.109375" style="88" customWidth="1"/>
    <col min="6402" max="6402" width="4.5546875" style="88" customWidth="1"/>
    <col min="6403" max="6403" width="21.109375" style="88" customWidth="1"/>
    <col min="6404" max="6404" width="11.109375" style="88" bestFit="1" customWidth="1"/>
    <col min="6405" max="6412" width="11.5546875" style="88" bestFit="1" customWidth="1"/>
    <col min="6413" max="6413" width="12.44140625" style="88" bestFit="1" customWidth="1"/>
    <col min="6414" max="6414" width="12" style="88" bestFit="1" customWidth="1"/>
    <col min="6415" max="6422" width="12.44140625" style="88" bestFit="1" customWidth="1"/>
    <col min="6423" max="6423" width="12.88671875" style="88" bestFit="1" customWidth="1"/>
    <col min="6424" max="6424" width="12.44140625" style="88" bestFit="1" customWidth="1"/>
    <col min="6425" max="6433" width="12.88671875" style="88" bestFit="1" customWidth="1"/>
    <col min="6434" max="6434" width="12.44140625" style="88" bestFit="1" customWidth="1"/>
    <col min="6435" max="6436" width="12.88671875" style="88" bestFit="1" customWidth="1"/>
    <col min="6437" max="6437" width="10.6640625" style="88" bestFit="1" customWidth="1"/>
    <col min="6438" max="6438" width="13.6640625" style="88" customWidth="1"/>
    <col min="6439" max="6439" width="11.5546875" style="88" bestFit="1" customWidth="1"/>
    <col min="6440" max="6440" width="12.88671875" style="88" customWidth="1"/>
    <col min="6441" max="6441" width="17.88671875" style="88" bestFit="1" customWidth="1"/>
    <col min="6442" max="6443" width="13.109375" style="88" bestFit="1" customWidth="1"/>
    <col min="6444" max="6444" width="11.5546875" style="88" customWidth="1"/>
    <col min="6445" max="6445" width="13.44140625" style="88" bestFit="1" customWidth="1"/>
    <col min="6446" max="6446" width="9.6640625" style="88" customWidth="1"/>
    <col min="6447" max="6447" width="10.6640625" style="88" bestFit="1" customWidth="1"/>
    <col min="6448" max="6448" width="13.5546875" style="88" bestFit="1" customWidth="1"/>
    <col min="6449" max="6449" width="12" style="88" bestFit="1" customWidth="1"/>
    <col min="6450" max="6450" width="12" style="88" customWidth="1"/>
    <col min="6451" max="6451" width="9.33203125" style="88" bestFit="1" customWidth="1"/>
    <col min="6452" max="6452" width="12" style="88" bestFit="1" customWidth="1"/>
    <col min="6453" max="6453" width="13.109375" style="88" customWidth="1"/>
    <col min="6454" max="6454" width="9.109375" style="88" customWidth="1"/>
    <col min="6455" max="6455" width="9.88671875" style="88" bestFit="1" customWidth="1"/>
    <col min="6456" max="6657" width="9.109375" style="88" customWidth="1"/>
    <col min="6658" max="6658" width="4.5546875" style="88" customWidth="1"/>
    <col min="6659" max="6659" width="21.109375" style="88" customWidth="1"/>
    <col min="6660" max="6660" width="11.109375" style="88" bestFit="1" customWidth="1"/>
    <col min="6661" max="6668" width="11.5546875" style="88" bestFit="1" customWidth="1"/>
    <col min="6669" max="6669" width="12.44140625" style="88" bestFit="1" customWidth="1"/>
    <col min="6670" max="6670" width="12" style="88" bestFit="1" customWidth="1"/>
    <col min="6671" max="6678" width="12.44140625" style="88" bestFit="1" customWidth="1"/>
    <col min="6679" max="6679" width="12.88671875" style="88" bestFit="1" customWidth="1"/>
    <col min="6680" max="6680" width="12.44140625" style="88" bestFit="1" customWidth="1"/>
    <col min="6681" max="6689" width="12.88671875" style="88" bestFit="1" customWidth="1"/>
    <col min="6690" max="6690" width="12.44140625" style="88" bestFit="1" customWidth="1"/>
    <col min="6691" max="6692" width="12.88671875" style="88" bestFit="1" customWidth="1"/>
    <col min="6693" max="6693" width="10.6640625" style="88" bestFit="1" customWidth="1"/>
    <col min="6694" max="6694" width="13.6640625" style="88" customWidth="1"/>
    <col min="6695" max="6695" width="11.5546875" style="88" bestFit="1" customWidth="1"/>
    <col min="6696" max="6696" width="12.88671875" style="88" customWidth="1"/>
    <col min="6697" max="6697" width="17.88671875" style="88" bestFit="1" customWidth="1"/>
    <col min="6698" max="6699" width="13.109375" style="88" bestFit="1" customWidth="1"/>
    <col min="6700" max="6700" width="11.5546875" style="88" customWidth="1"/>
    <col min="6701" max="6701" width="13.44140625" style="88" bestFit="1" customWidth="1"/>
    <col min="6702" max="6702" width="9.6640625" style="88" customWidth="1"/>
    <col min="6703" max="6703" width="10.6640625" style="88" bestFit="1" customWidth="1"/>
    <col min="6704" max="6704" width="13.5546875" style="88" bestFit="1" customWidth="1"/>
    <col min="6705" max="6705" width="12" style="88" bestFit="1" customWidth="1"/>
    <col min="6706" max="6706" width="12" style="88" customWidth="1"/>
    <col min="6707" max="6707" width="9.33203125" style="88" bestFit="1" customWidth="1"/>
    <col min="6708" max="6708" width="12" style="88" bestFit="1" customWidth="1"/>
    <col min="6709" max="6709" width="13.109375" style="88" customWidth="1"/>
    <col min="6710" max="6710" width="9.109375" style="88" customWidth="1"/>
    <col min="6711" max="6711" width="9.88671875" style="88" bestFit="1" customWidth="1"/>
    <col min="6712" max="6913" width="9.109375" style="88" customWidth="1"/>
    <col min="6914" max="6914" width="4.5546875" style="88" customWidth="1"/>
    <col min="6915" max="6915" width="21.109375" style="88" customWidth="1"/>
    <col min="6916" max="6916" width="11.109375" style="88" bestFit="1" customWidth="1"/>
    <col min="6917" max="6924" width="11.5546875" style="88" bestFit="1" customWidth="1"/>
    <col min="6925" max="6925" width="12.44140625" style="88" bestFit="1" customWidth="1"/>
    <col min="6926" max="6926" width="12" style="88" bestFit="1" customWidth="1"/>
    <col min="6927" max="6934" width="12.44140625" style="88" bestFit="1" customWidth="1"/>
    <col min="6935" max="6935" width="12.88671875" style="88" bestFit="1" customWidth="1"/>
    <col min="6936" max="6936" width="12.44140625" style="88" bestFit="1" customWidth="1"/>
    <col min="6937" max="6945" width="12.88671875" style="88" bestFit="1" customWidth="1"/>
    <col min="6946" max="6946" width="12.44140625" style="88" bestFit="1" customWidth="1"/>
    <col min="6947" max="6948" width="12.88671875" style="88" bestFit="1" customWidth="1"/>
    <col min="6949" max="6949" width="10.6640625" style="88" bestFit="1" customWidth="1"/>
    <col min="6950" max="6950" width="13.6640625" style="88" customWidth="1"/>
    <col min="6951" max="6951" width="11.5546875" style="88" bestFit="1" customWidth="1"/>
    <col min="6952" max="6952" width="12.88671875" style="88" customWidth="1"/>
    <col min="6953" max="6953" width="17.88671875" style="88" bestFit="1" customWidth="1"/>
    <col min="6954" max="6955" width="13.109375" style="88" bestFit="1" customWidth="1"/>
    <col min="6956" max="6956" width="11.5546875" style="88" customWidth="1"/>
    <col min="6957" max="6957" width="13.44140625" style="88" bestFit="1" customWidth="1"/>
    <col min="6958" max="6958" width="9.6640625" style="88" customWidth="1"/>
    <col min="6959" max="6959" width="10.6640625" style="88" bestFit="1" customWidth="1"/>
    <col min="6960" max="6960" width="13.5546875" style="88" bestFit="1" customWidth="1"/>
    <col min="6961" max="6961" width="12" style="88" bestFit="1" customWidth="1"/>
    <col min="6962" max="6962" width="12" style="88" customWidth="1"/>
    <col min="6963" max="6963" width="9.33203125" style="88" bestFit="1" customWidth="1"/>
    <col min="6964" max="6964" width="12" style="88" bestFit="1" customWidth="1"/>
    <col min="6965" max="6965" width="13.109375" style="88" customWidth="1"/>
    <col min="6966" max="6966" width="9.109375" style="88" customWidth="1"/>
    <col min="6967" max="6967" width="9.88671875" style="88" bestFit="1" customWidth="1"/>
    <col min="6968" max="7169" width="9.109375" style="88" customWidth="1"/>
    <col min="7170" max="7170" width="4.5546875" style="88" customWidth="1"/>
    <col min="7171" max="7171" width="21.109375" style="88" customWidth="1"/>
    <col min="7172" max="7172" width="11.109375" style="88" bestFit="1" customWidth="1"/>
    <col min="7173" max="7180" width="11.5546875" style="88" bestFit="1" customWidth="1"/>
    <col min="7181" max="7181" width="12.44140625" style="88" bestFit="1" customWidth="1"/>
    <col min="7182" max="7182" width="12" style="88" bestFit="1" customWidth="1"/>
    <col min="7183" max="7190" width="12.44140625" style="88" bestFit="1" customWidth="1"/>
    <col min="7191" max="7191" width="12.88671875" style="88" bestFit="1" customWidth="1"/>
    <col min="7192" max="7192" width="12.44140625" style="88" bestFit="1" customWidth="1"/>
    <col min="7193" max="7201" width="12.88671875" style="88" bestFit="1" customWidth="1"/>
    <col min="7202" max="7202" width="12.44140625" style="88" bestFit="1" customWidth="1"/>
    <col min="7203" max="7204" width="12.88671875" style="88" bestFit="1" customWidth="1"/>
    <col min="7205" max="7205" width="10.6640625" style="88" bestFit="1" customWidth="1"/>
    <col min="7206" max="7206" width="13.6640625" style="88" customWidth="1"/>
    <col min="7207" max="7207" width="11.5546875" style="88" bestFit="1" customWidth="1"/>
    <col min="7208" max="7208" width="12.88671875" style="88" customWidth="1"/>
    <col min="7209" max="7209" width="17.88671875" style="88" bestFit="1" customWidth="1"/>
    <col min="7210" max="7211" width="13.109375" style="88" bestFit="1" customWidth="1"/>
    <col min="7212" max="7212" width="11.5546875" style="88" customWidth="1"/>
    <col min="7213" max="7213" width="13.44140625" style="88" bestFit="1" customWidth="1"/>
    <col min="7214" max="7214" width="9.6640625" style="88" customWidth="1"/>
    <col min="7215" max="7215" width="10.6640625" style="88" bestFit="1" customWidth="1"/>
    <col min="7216" max="7216" width="13.5546875" style="88" bestFit="1" customWidth="1"/>
    <col min="7217" max="7217" width="12" style="88" bestFit="1" customWidth="1"/>
    <col min="7218" max="7218" width="12" style="88" customWidth="1"/>
    <col min="7219" max="7219" width="9.33203125" style="88" bestFit="1" customWidth="1"/>
    <col min="7220" max="7220" width="12" style="88" bestFit="1" customWidth="1"/>
    <col min="7221" max="7221" width="13.109375" style="88" customWidth="1"/>
    <col min="7222" max="7222" width="9.109375" style="88" customWidth="1"/>
    <col min="7223" max="7223" width="9.88671875" style="88" bestFit="1" customWidth="1"/>
    <col min="7224" max="7425" width="9.109375" style="88" customWidth="1"/>
    <col min="7426" max="7426" width="4.5546875" style="88" customWidth="1"/>
    <col min="7427" max="7427" width="21.109375" style="88" customWidth="1"/>
    <col min="7428" max="7428" width="11.109375" style="88" bestFit="1" customWidth="1"/>
    <col min="7429" max="7436" width="11.5546875" style="88" bestFit="1" customWidth="1"/>
    <col min="7437" max="7437" width="12.44140625" style="88" bestFit="1" customWidth="1"/>
    <col min="7438" max="7438" width="12" style="88" bestFit="1" customWidth="1"/>
    <col min="7439" max="7446" width="12.44140625" style="88" bestFit="1" customWidth="1"/>
    <col min="7447" max="7447" width="12.88671875" style="88" bestFit="1" customWidth="1"/>
    <col min="7448" max="7448" width="12.44140625" style="88" bestFit="1" customWidth="1"/>
    <col min="7449" max="7457" width="12.88671875" style="88" bestFit="1" customWidth="1"/>
    <col min="7458" max="7458" width="12.44140625" style="88" bestFit="1" customWidth="1"/>
    <col min="7459" max="7460" width="12.88671875" style="88" bestFit="1" customWidth="1"/>
    <col min="7461" max="7461" width="10.6640625" style="88" bestFit="1" customWidth="1"/>
    <col min="7462" max="7462" width="13.6640625" style="88" customWidth="1"/>
    <col min="7463" max="7463" width="11.5546875" style="88" bestFit="1" customWidth="1"/>
    <col min="7464" max="7464" width="12.88671875" style="88" customWidth="1"/>
    <col min="7465" max="7465" width="17.88671875" style="88" bestFit="1" customWidth="1"/>
    <col min="7466" max="7467" width="13.109375" style="88" bestFit="1" customWidth="1"/>
    <col min="7468" max="7468" width="11.5546875" style="88" customWidth="1"/>
    <col min="7469" max="7469" width="13.44140625" style="88" bestFit="1" customWidth="1"/>
    <col min="7470" max="7470" width="9.6640625" style="88" customWidth="1"/>
    <col min="7471" max="7471" width="10.6640625" style="88" bestFit="1" customWidth="1"/>
    <col min="7472" max="7472" width="13.5546875" style="88" bestFit="1" customWidth="1"/>
    <col min="7473" max="7473" width="12" style="88" bestFit="1" customWidth="1"/>
    <col min="7474" max="7474" width="12" style="88" customWidth="1"/>
    <col min="7475" max="7475" width="9.33203125" style="88" bestFit="1" customWidth="1"/>
    <col min="7476" max="7476" width="12" style="88" bestFit="1" customWidth="1"/>
    <col min="7477" max="7477" width="13.109375" style="88" customWidth="1"/>
    <col min="7478" max="7478" width="9.109375" style="88" customWidth="1"/>
    <col min="7479" max="7479" width="9.88671875" style="88" bestFit="1" customWidth="1"/>
    <col min="7480" max="7681" width="9.109375" style="88" customWidth="1"/>
    <col min="7682" max="7682" width="4.5546875" style="88" customWidth="1"/>
    <col min="7683" max="7683" width="21.109375" style="88" customWidth="1"/>
    <col min="7684" max="7684" width="11.109375" style="88" bestFit="1" customWidth="1"/>
    <col min="7685" max="7692" width="11.5546875" style="88" bestFit="1" customWidth="1"/>
    <col min="7693" max="7693" width="12.44140625" style="88" bestFit="1" customWidth="1"/>
    <col min="7694" max="7694" width="12" style="88" bestFit="1" customWidth="1"/>
    <col min="7695" max="7702" width="12.44140625" style="88" bestFit="1" customWidth="1"/>
    <col min="7703" max="7703" width="12.88671875" style="88" bestFit="1" customWidth="1"/>
    <col min="7704" max="7704" width="12.44140625" style="88" bestFit="1" customWidth="1"/>
    <col min="7705" max="7713" width="12.88671875" style="88" bestFit="1" customWidth="1"/>
    <col min="7714" max="7714" width="12.44140625" style="88" bestFit="1" customWidth="1"/>
    <col min="7715" max="7716" width="12.88671875" style="88" bestFit="1" customWidth="1"/>
    <col min="7717" max="7717" width="10.6640625" style="88" bestFit="1" customWidth="1"/>
    <col min="7718" max="7718" width="13.6640625" style="88" customWidth="1"/>
    <col min="7719" max="7719" width="11.5546875" style="88" bestFit="1" customWidth="1"/>
    <col min="7720" max="7720" width="12.88671875" style="88" customWidth="1"/>
    <col min="7721" max="7721" width="17.88671875" style="88" bestFit="1" customWidth="1"/>
    <col min="7722" max="7723" width="13.109375" style="88" bestFit="1" customWidth="1"/>
    <col min="7724" max="7724" width="11.5546875" style="88" customWidth="1"/>
    <col min="7725" max="7725" width="13.44140625" style="88" bestFit="1" customWidth="1"/>
    <col min="7726" max="7726" width="9.6640625" style="88" customWidth="1"/>
    <col min="7727" max="7727" width="10.6640625" style="88" bestFit="1" customWidth="1"/>
    <col min="7728" max="7728" width="13.5546875" style="88" bestFit="1" customWidth="1"/>
    <col min="7729" max="7729" width="12" style="88" bestFit="1" customWidth="1"/>
    <col min="7730" max="7730" width="12" style="88" customWidth="1"/>
    <col min="7731" max="7731" width="9.33203125" style="88" bestFit="1" customWidth="1"/>
    <col min="7732" max="7732" width="12" style="88" bestFit="1" customWidth="1"/>
    <col min="7733" max="7733" width="13.109375" style="88" customWidth="1"/>
    <col min="7734" max="7734" width="9.109375" style="88" customWidth="1"/>
    <col min="7735" max="7735" width="9.88671875" style="88" bestFit="1" customWidth="1"/>
    <col min="7736" max="7937" width="9.109375" style="88" customWidth="1"/>
    <col min="7938" max="7938" width="4.5546875" style="88" customWidth="1"/>
    <col min="7939" max="7939" width="21.109375" style="88" customWidth="1"/>
    <col min="7940" max="7940" width="11.109375" style="88" bestFit="1" customWidth="1"/>
    <col min="7941" max="7948" width="11.5546875" style="88" bestFit="1" customWidth="1"/>
    <col min="7949" max="7949" width="12.44140625" style="88" bestFit="1" customWidth="1"/>
    <col min="7950" max="7950" width="12" style="88" bestFit="1" customWidth="1"/>
    <col min="7951" max="7958" width="12.44140625" style="88" bestFit="1" customWidth="1"/>
    <col min="7959" max="7959" width="12.88671875" style="88" bestFit="1" customWidth="1"/>
    <col min="7960" max="7960" width="12.44140625" style="88" bestFit="1" customWidth="1"/>
    <col min="7961" max="7969" width="12.88671875" style="88" bestFit="1" customWidth="1"/>
    <col min="7970" max="7970" width="12.44140625" style="88" bestFit="1" customWidth="1"/>
    <col min="7971" max="7972" width="12.88671875" style="88" bestFit="1" customWidth="1"/>
    <col min="7973" max="7973" width="10.6640625" style="88" bestFit="1" customWidth="1"/>
    <col min="7974" max="7974" width="13.6640625" style="88" customWidth="1"/>
    <col min="7975" max="7975" width="11.5546875" style="88" bestFit="1" customWidth="1"/>
    <col min="7976" max="7976" width="12.88671875" style="88" customWidth="1"/>
    <col min="7977" max="7977" width="17.88671875" style="88" bestFit="1" customWidth="1"/>
    <col min="7978" max="7979" width="13.109375" style="88" bestFit="1" customWidth="1"/>
    <col min="7980" max="7980" width="11.5546875" style="88" customWidth="1"/>
    <col min="7981" max="7981" width="13.44140625" style="88" bestFit="1" customWidth="1"/>
    <col min="7982" max="7982" width="9.6640625" style="88" customWidth="1"/>
    <col min="7983" max="7983" width="10.6640625" style="88" bestFit="1" customWidth="1"/>
    <col min="7984" max="7984" width="13.5546875" style="88" bestFit="1" customWidth="1"/>
    <col min="7985" max="7985" width="12" style="88" bestFit="1" customWidth="1"/>
    <col min="7986" max="7986" width="12" style="88" customWidth="1"/>
    <col min="7987" max="7987" width="9.33203125" style="88" bestFit="1" customWidth="1"/>
    <col min="7988" max="7988" width="12" style="88" bestFit="1" customWidth="1"/>
    <col min="7989" max="7989" width="13.109375" style="88" customWidth="1"/>
    <col min="7990" max="7990" width="9.109375" style="88" customWidth="1"/>
    <col min="7991" max="7991" width="9.88671875" style="88" bestFit="1" customWidth="1"/>
    <col min="7992" max="8193" width="9.109375" style="88" customWidth="1"/>
    <col min="8194" max="8194" width="4.5546875" style="88" customWidth="1"/>
    <col min="8195" max="8195" width="21.109375" style="88" customWidth="1"/>
    <col min="8196" max="8196" width="11.109375" style="88" bestFit="1" customWidth="1"/>
    <col min="8197" max="8204" width="11.5546875" style="88" bestFit="1" customWidth="1"/>
    <col min="8205" max="8205" width="12.44140625" style="88" bestFit="1" customWidth="1"/>
    <col min="8206" max="8206" width="12" style="88" bestFit="1" customWidth="1"/>
    <col min="8207" max="8214" width="12.44140625" style="88" bestFit="1" customWidth="1"/>
    <col min="8215" max="8215" width="12.88671875" style="88" bestFit="1" customWidth="1"/>
    <col min="8216" max="8216" width="12.44140625" style="88" bestFit="1" customWidth="1"/>
    <col min="8217" max="8225" width="12.88671875" style="88" bestFit="1" customWidth="1"/>
    <col min="8226" max="8226" width="12.44140625" style="88" bestFit="1" customWidth="1"/>
    <col min="8227" max="8228" width="12.88671875" style="88" bestFit="1" customWidth="1"/>
    <col min="8229" max="8229" width="10.6640625" style="88" bestFit="1" customWidth="1"/>
    <col min="8230" max="8230" width="13.6640625" style="88" customWidth="1"/>
    <col min="8231" max="8231" width="11.5546875" style="88" bestFit="1" customWidth="1"/>
    <col min="8232" max="8232" width="12.88671875" style="88" customWidth="1"/>
    <col min="8233" max="8233" width="17.88671875" style="88" bestFit="1" customWidth="1"/>
    <col min="8234" max="8235" width="13.109375" style="88" bestFit="1" customWidth="1"/>
    <col min="8236" max="8236" width="11.5546875" style="88" customWidth="1"/>
    <col min="8237" max="8237" width="13.44140625" style="88" bestFit="1" customWidth="1"/>
    <col min="8238" max="8238" width="9.6640625" style="88" customWidth="1"/>
    <col min="8239" max="8239" width="10.6640625" style="88" bestFit="1" customWidth="1"/>
    <col min="8240" max="8240" width="13.5546875" style="88" bestFit="1" customWidth="1"/>
    <col min="8241" max="8241" width="12" style="88" bestFit="1" customWidth="1"/>
    <col min="8242" max="8242" width="12" style="88" customWidth="1"/>
    <col min="8243" max="8243" width="9.33203125" style="88" bestFit="1" customWidth="1"/>
    <col min="8244" max="8244" width="12" style="88" bestFit="1" customWidth="1"/>
    <col min="8245" max="8245" width="13.109375" style="88" customWidth="1"/>
    <col min="8246" max="8246" width="9.109375" style="88" customWidth="1"/>
    <col min="8247" max="8247" width="9.88671875" style="88" bestFit="1" customWidth="1"/>
    <col min="8248" max="8449" width="9.109375" style="88" customWidth="1"/>
    <col min="8450" max="8450" width="4.5546875" style="88" customWidth="1"/>
    <col min="8451" max="8451" width="21.109375" style="88" customWidth="1"/>
    <col min="8452" max="8452" width="11.109375" style="88" bestFit="1" customWidth="1"/>
    <col min="8453" max="8460" width="11.5546875" style="88" bestFit="1" customWidth="1"/>
    <col min="8461" max="8461" width="12.44140625" style="88" bestFit="1" customWidth="1"/>
    <col min="8462" max="8462" width="12" style="88" bestFit="1" customWidth="1"/>
    <col min="8463" max="8470" width="12.44140625" style="88" bestFit="1" customWidth="1"/>
    <col min="8471" max="8471" width="12.88671875" style="88" bestFit="1" customWidth="1"/>
    <col min="8472" max="8472" width="12.44140625" style="88" bestFit="1" customWidth="1"/>
    <col min="8473" max="8481" width="12.88671875" style="88" bestFit="1" customWidth="1"/>
    <col min="8482" max="8482" width="12.44140625" style="88" bestFit="1" customWidth="1"/>
    <col min="8483" max="8484" width="12.88671875" style="88" bestFit="1" customWidth="1"/>
    <col min="8485" max="8485" width="10.6640625" style="88" bestFit="1" customWidth="1"/>
    <col min="8486" max="8486" width="13.6640625" style="88" customWidth="1"/>
    <col min="8487" max="8487" width="11.5546875" style="88" bestFit="1" customWidth="1"/>
    <col min="8488" max="8488" width="12.88671875" style="88" customWidth="1"/>
    <col min="8489" max="8489" width="17.88671875" style="88" bestFit="1" customWidth="1"/>
    <col min="8490" max="8491" width="13.109375" style="88" bestFit="1" customWidth="1"/>
    <col min="8492" max="8492" width="11.5546875" style="88" customWidth="1"/>
    <col min="8493" max="8493" width="13.44140625" style="88" bestFit="1" customWidth="1"/>
    <col min="8494" max="8494" width="9.6640625" style="88" customWidth="1"/>
    <col min="8495" max="8495" width="10.6640625" style="88" bestFit="1" customWidth="1"/>
    <col min="8496" max="8496" width="13.5546875" style="88" bestFit="1" customWidth="1"/>
    <col min="8497" max="8497" width="12" style="88" bestFit="1" customWidth="1"/>
    <col min="8498" max="8498" width="12" style="88" customWidth="1"/>
    <col min="8499" max="8499" width="9.33203125" style="88" bestFit="1" customWidth="1"/>
    <col min="8500" max="8500" width="12" style="88" bestFit="1" customWidth="1"/>
    <col min="8501" max="8501" width="13.109375" style="88" customWidth="1"/>
    <col min="8502" max="8502" width="9.109375" style="88" customWidth="1"/>
    <col min="8503" max="8503" width="9.88671875" style="88" bestFit="1" customWidth="1"/>
    <col min="8504" max="8705" width="9.109375" style="88" customWidth="1"/>
    <col min="8706" max="8706" width="4.5546875" style="88" customWidth="1"/>
    <col min="8707" max="8707" width="21.109375" style="88" customWidth="1"/>
    <col min="8708" max="8708" width="11.109375" style="88" bestFit="1" customWidth="1"/>
    <col min="8709" max="8716" width="11.5546875" style="88" bestFit="1" customWidth="1"/>
    <col min="8717" max="8717" width="12.44140625" style="88" bestFit="1" customWidth="1"/>
    <col min="8718" max="8718" width="12" style="88" bestFit="1" customWidth="1"/>
    <col min="8719" max="8726" width="12.44140625" style="88" bestFit="1" customWidth="1"/>
    <col min="8727" max="8727" width="12.88671875" style="88" bestFit="1" customWidth="1"/>
    <col min="8728" max="8728" width="12.44140625" style="88" bestFit="1" customWidth="1"/>
    <col min="8729" max="8737" width="12.88671875" style="88" bestFit="1" customWidth="1"/>
    <col min="8738" max="8738" width="12.44140625" style="88" bestFit="1" customWidth="1"/>
    <col min="8739" max="8740" width="12.88671875" style="88" bestFit="1" customWidth="1"/>
    <col min="8741" max="8741" width="10.6640625" style="88" bestFit="1" customWidth="1"/>
    <col min="8742" max="8742" width="13.6640625" style="88" customWidth="1"/>
    <col min="8743" max="8743" width="11.5546875" style="88" bestFit="1" customWidth="1"/>
    <col min="8744" max="8744" width="12.88671875" style="88" customWidth="1"/>
    <col min="8745" max="8745" width="17.88671875" style="88" bestFit="1" customWidth="1"/>
    <col min="8746" max="8747" width="13.109375" style="88" bestFit="1" customWidth="1"/>
    <col min="8748" max="8748" width="11.5546875" style="88" customWidth="1"/>
    <col min="8749" max="8749" width="13.44140625" style="88" bestFit="1" customWidth="1"/>
    <col min="8750" max="8750" width="9.6640625" style="88" customWidth="1"/>
    <col min="8751" max="8751" width="10.6640625" style="88" bestFit="1" customWidth="1"/>
    <col min="8752" max="8752" width="13.5546875" style="88" bestFit="1" customWidth="1"/>
    <col min="8753" max="8753" width="12" style="88" bestFit="1" customWidth="1"/>
    <col min="8754" max="8754" width="12" style="88" customWidth="1"/>
    <col min="8755" max="8755" width="9.33203125" style="88" bestFit="1" customWidth="1"/>
    <col min="8756" max="8756" width="12" style="88" bestFit="1" customWidth="1"/>
    <col min="8757" max="8757" width="13.109375" style="88" customWidth="1"/>
    <col min="8758" max="8758" width="9.109375" style="88" customWidth="1"/>
    <col min="8759" max="8759" width="9.88671875" style="88" bestFit="1" customWidth="1"/>
    <col min="8760" max="8961" width="9.109375" style="88" customWidth="1"/>
    <col min="8962" max="8962" width="4.5546875" style="88" customWidth="1"/>
    <col min="8963" max="8963" width="21.109375" style="88" customWidth="1"/>
    <col min="8964" max="8964" width="11.109375" style="88" bestFit="1" customWidth="1"/>
    <col min="8965" max="8972" width="11.5546875" style="88" bestFit="1" customWidth="1"/>
    <col min="8973" max="8973" width="12.44140625" style="88" bestFit="1" customWidth="1"/>
    <col min="8974" max="8974" width="12" style="88" bestFit="1" customWidth="1"/>
    <col min="8975" max="8982" width="12.44140625" style="88" bestFit="1" customWidth="1"/>
    <col min="8983" max="8983" width="12.88671875" style="88" bestFit="1" customWidth="1"/>
    <col min="8984" max="8984" width="12.44140625" style="88" bestFit="1" customWidth="1"/>
    <col min="8985" max="8993" width="12.88671875" style="88" bestFit="1" customWidth="1"/>
    <col min="8994" max="8994" width="12.44140625" style="88" bestFit="1" customWidth="1"/>
    <col min="8995" max="8996" width="12.88671875" style="88" bestFit="1" customWidth="1"/>
    <col min="8997" max="8997" width="10.6640625" style="88" bestFit="1" customWidth="1"/>
    <col min="8998" max="8998" width="13.6640625" style="88" customWidth="1"/>
    <col min="8999" max="8999" width="11.5546875" style="88" bestFit="1" customWidth="1"/>
    <col min="9000" max="9000" width="12.88671875" style="88" customWidth="1"/>
    <col min="9001" max="9001" width="17.88671875" style="88" bestFit="1" customWidth="1"/>
    <col min="9002" max="9003" width="13.109375" style="88" bestFit="1" customWidth="1"/>
    <col min="9004" max="9004" width="11.5546875" style="88" customWidth="1"/>
    <col min="9005" max="9005" width="13.44140625" style="88" bestFit="1" customWidth="1"/>
    <col min="9006" max="9006" width="9.6640625" style="88" customWidth="1"/>
    <col min="9007" max="9007" width="10.6640625" style="88" bestFit="1" customWidth="1"/>
    <col min="9008" max="9008" width="13.5546875" style="88" bestFit="1" customWidth="1"/>
    <col min="9009" max="9009" width="12" style="88" bestFit="1" customWidth="1"/>
    <col min="9010" max="9010" width="12" style="88" customWidth="1"/>
    <col min="9011" max="9011" width="9.33203125" style="88" bestFit="1" customWidth="1"/>
    <col min="9012" max="9012" width="12" style="88" bestFit="1" customWidth="1"/>
    <col min="9013" max="9013" width="13.109375" style="88" customWidth="1"/>
    <col min="9014" max="9014" width="9.109375" style="88" customWidth="1"/>
    <col min="9015" max="9015" width="9.88671875" style="88" bestFit="1" customWidth="1"/>
    <col min="9016" max="9217" width="9.109375" style="88" customWidth="1"/>
    <col min="9218" max="9218" width="4.5546875" style="88" customWidth="1"/>
    <col min="9219" max="9219" width="21.109375" style="88" customWidth="1"/>
    <col min="9220" max="9220" width="11.109375" style="88" bestFit="1" customWidth="1"/>
    <col min="9221" max="9228" width="11.5546875" style="88" bestFit="1" customWidth="1"/>
    <col min="9229" max="9229" width="12.44140625" style="88" bestFit="1" customWidth="1"/>
    <col min="9230" max="9230" width="12" style="88" bestFit="1" customWidth="1"/>
    <col min="9231" max="9238" width="12.44140625" style="88" bestFit="1" customWidth="1"/>
    <col min="9239" max="9239" width="12.88671875" style="88" bestFit="1" customWidth="1"/>
    <col min="9240" max="9240" width="12.44140625" style="88" bestFit="1" customWidth="1"/>
    <col min="9241" max="9249" width="12.88671875" style="88" bestFit="1" customWidth="1"/>
    <col min="9250" max="9250" width="12.44140625" style="88" bestFit="1" customWidth="1"/>
    <col min="9251" max="9252" width="12.88671875" style="88" bestFit="1" customWidth="1"/>
    <col min="9253" max="9253" width="10.6640625" style="88" bestFit="1" customWidth="1"/>
    <col min="9254" max="9254" width="13.6640625" style="88" customWidth="1"/>
    <col min="9255" max="9255" width="11.5546875" style="88" bestFit="1" customWidth="1"/>
    <col min="9256" max="9256" width="12.88671875" style="88" customWidth="1"/>
    <col min="9257" max="9257" width="17.88671875" style="88" bestFit="1" customWidth="1"/>
    <col min="9258" max="9259" width="13.109375" style="88" bestFit="1" customWidth="1"/>
    <col min="9260" max="9260" width="11.5546875" style="88" customWidth="1"/>
    <col min="9261" max="9261" width="13.44140625" style="88" bestFit="1" customWidth="1"/>
    <col min="9262" max="9262" width="9.6640625" style="88" customWidth="1"/>
    <col min="9263" max="9263" width="10.6640625" style="88" bestFit="1" customWidth="1"/>
    <col min="9264" max="9264" width="13.5546875" style="88" bestFit="1" customWidth="1"/>
    <col min="9265" max="9265" width="12" style="88" bestFit="1" customWidth="1"/>
    <col min="9266" max="9266" width="12" style="88" customWidth="1"/>
    <col min="9267" max="9267" width="9.33203125" style="88" bestFit="1" customWidth="1"/>
    <col min="9268" max="9268" width="12" style="88" bestFit="1" customWidth="1"/>
    <col min="9269" max="9269" width="13.109375" style="88" customWidth="1"/>
    <col min="9270" max="9270" width="9.109375" style="88" customWidth="1"/>
    <col min="9271" max="9271" width="9.88671875" style="88" bestFit="1" customWidth="1"/>
    <col min="9272" max="9473" width="9.109375" style="88" customWidth="1"/>
    <col min="9474" max="9474" width="4.5546875" style="88" customWidth="1"/>
    <col min="9475" max="9475" width="21.109375" style="88" customWidth="1"/>
    <col min="9476" max="9476" width="11.109375" style="88" bestFit="1" customWidth="1"/>
    <col min="9477" max="9484" width="11.5546875" style="88" bestFit="1" customWidth="1"/>
    <col min="9485" max="9485" width="12.44140625" style="88" bestFit="1" customWidth="1"/>
    <col min="9486" max="9486" width="12" style="88" bestFit="1" customWidth="1"/>
    <col min="9487" max="9494" width="12.44140625" style="88" bestFit="1" customWidth="1"/>
    <col min="9495" max="9495" width="12.88671875" style="88" bestFit="1" customWidth="1"/>
    <col min="9496" max="9496" width="12.44140625" style="88" bestFit="1" customWidth="1"/>
    <col min="9497" max="9505" width="12.88671875" style="88" bestFit="1" customWidth="1"/>
    <col min="9506" max="9506" width="12.44140625" style="88" bestFit="1" customWidth="1"/>
    <col min="9507" max="9508" width="12.88671875" style="88" bestFit="1" customWidth="1"/>
    <col min="9509" max="9509" width="10.6640625" style="88" bestFit="1" customWidth="1"/>
    <col min="9510" max="9510" width="13.6640625" style="88" customWidth="1"/>
    <col min="9511" max="9511" width="11.5546875" style="88" bestFit="1" customWidth="1"/>
    <col min="9512" max="9512" width="12.88671875" style="88" customWidth="1"/>
    <col min="9513" max="9513" width="17.88671875" style="88" bestFit="1" customWidth="1"/>
    <col min="9514" max="9515" width="13.109375" style="88" bestFit="1" customWidth="1"/>
    <col min="9516" max="9516" width="11.5546875" style="88" customWidth="1"/>
    <col min="9517" max="9517" width="13.44140625" style="88" bestFit="1" customWidth="1"/>
    <col min="9518" max="9518" width="9.6640625" style="88" customWidth="1"/>
    <col min="9519" max="9519" width="10.6640625" style="88" bestFit="1" customWidth="1"/>
    <col min="9520" max="9520" width="13.5546875" style="88" bestFit="1" customWidth="1"/>
    <col min="9521" max="9521" width="12" style="88" bestFit="1" customWidth="1"/>
    <col min="9522" max="9522" width="12" style="88" customWidth="1"/>
    <col min="9523" max="9523" width="9.33203125" style="88" bestFit="1" customWidth="1"/>
    <col min="9524" max="9524" width="12" style="88" bestFit="1" customWidth="1"/>
    <col min="9525" max="9525" width="13.109375" style="88" customWidth="1"/>
    <col min="9526" max="9526" width="9.109375" style="88" customWidth="1"/>
    <col min="9527" max="9527" width="9.88671875" style="88" bestFit="1" customWidth="1"/>
    <col min="9528" max="9729" width="9.109375" style="88" customWidth="1"/>
    <col min="9730" max="9730" width="4.5546875" style="88" customWidth="1"/>
    <col min="9731" max="9731" width="21.109375" style="88" customWidth="1"/>
    <col min="9732" max="9732" width="11.109375" style="88" bestFit="1" customWidth="1"/>
    <col min="9733" max="9740" width="11.5546875" style="88" bestFit="1" customWidth="1"/>
    <col min="9741" max="9741" width="12.44140625" style="88" bestFit="1" customWidth="1"/>
    <col min="9742" max="9742" width="12" style="88" bestFit="1" customWidth="1"/>
    <col min="9743" max="9750" width="12.44140625" style="88" bestFit="1" customWidth="1"/>
    <col min="9751" max="9751" width="12.88671875" style="88" bestFit="1" customWidth="1"/>
    <col min="9752" max="9752" width="12.44140625" style="88" bestFit="1" customWidth="1"/>
    <col min="9753" max="9761" width="12.88671875" style="88" bestFit="1" customWidth="1"/>
    <col min="9762" max="9762" width="12.44140625" style="88" bestFit="1" customWidth="1"/>
    <col min="9763" max="9764" width="12.88671875" style="88" bestFit="1" customWidth="1"/>
    <col min="9765" max="9765" width="10.6640625" style="88" bestFit="1" customWidth="1"/>
    <col min="9766" max="9766" width="13.6640625" style="88" customWidth="1"/>
    <col min="9767" max="9767" width="11.5546875" style="88" bestFit="1" customWidth="1"/>
    <col min="9768" max="9768" width="12.88671875" style="88" customWidth="1"/>
    <col min="9769" max="9769" width="17.88671875" style="88" bestFit="1" customWidth="1"/>
    <col min="9770" max="9771" width="13.109375" style="88" bestFit="1" customWidth="1"/>
    <col min="9772" max="9772" width="11.5546875" style="88" customWidth="1"/>
    <col min="9773" max="9773" width="13.44140625" style="88" bestFit="1" customWidth="1"/>
    <col min="9774" max="9774" width="9.6640625" style="88" customWidth="1"/>
    <col min="9775" max="9775" width="10.6640625" style="88" bestFit="1" customWidth="1"/>
    <col min="9776" max="9776" width="13.5546875" style="88" bestFit="1" customWidth="1"/>
    <col min="9777" max="9777" width="12" style="88" bestFit="1" customWidth="1"/>
    <col min="9778" max="9778" width="12" style="88" customWidth="1"/>
    <col min="9779" max="9779" width="9.33203125" style="88" bestFit="1" customWidth="1"/>
    <col min="9780" max="9780" width="12" style="88" bestFit="1" customWidth="1"/>
    <col min="9781" max="9781" width="13.109375" style="88" customWidth="1"/>
    <col min="9782" max="9782" width="9.109375" style="88" customWidth="1"/>
    <col min="9783" max="9783" width="9.88671875" style="88" bestFit="1" customWidth="1"/>
    <col min="9784" max="9985" width="9.109375" style="88" customWidth="1"/>
    <col min="9986" max="9986" width="4.5546875" style="88" customWidth="1"/>
    <col min="9987" max="9987" width="21.109375" style="88" customWidth="1"/>
    <col min="9988" max="9988" width="11.109375" style="88" bestFit="1" customWidth="1"/>
    <col min="9989" max="9996" width="11.5546875" style="88" bestFit="1" customWidth="1"/>
    <col min="9997" max="9997" width="12.44140625" style="88" bestFit="1" customWidth="1"/>
    <col min="9998" max="9998" width="12" style="88" bestFit="1" customWidth="1"/>
    <col min="9999" max="10006" width="12.44140625" style="88" bestFit="1" customWidth="1"/>
    <col min="10007" max="10007" width="12.88671875" style="88" bestFit="1" customWidth="1"/>
    <col min="10008" max="10008" width="12.44140625" style="88" bestFit="1" customWidth="1"/>
    <col min="10009" max="10017" width="12.88671875" style="88" bestFit="1" customWidth="1"/>
    <col min="10018" max="10018" width="12.44140625" style="88" bestFit="1" customWidth="1"/>
    <col min="10019" max="10020" width="12.88671875" style="88" bestFit="1" customWidth="1"/>
    <col min="10021" max="10021" width="10.6640625" style="88" bestFit="1" customWidth="1"/>
    <col min="10022" max="10022" width="13.6640625" style="88" customWidth="1"/>
    <col min="10023" max="10023" width="11.5546875" style="88" bestFit="1" customWidth="1"/>
    <col min="10024" max="10024" width="12.88671875" style="88" customWidth="1"/>
    <col min="10025" max="10025" width="17.88671875" style="88" bestFit="1" customWidth="1"/>
    <col min="10026" max="10027" width="13.109375" style="88" bestFit="1" customWidth="1"/>
    <col min="10028" max="10028" width="11.5546875" style="88" customWidth="1"/>
    <col min="10029" max="10029" width="13.44140625" style="88" bestFit="1" customWidth="1"/>
    <col min="10030" max="10030" width="9.6640625" style="88" customWidth="1"/>
    <col min="10031" max="10031" width="10.6640625" style="88" bestFit="1" customWidth="1"/>
    <col min="10032" max="10032" width="13.5546875" style="88" bestFit="1" customWidth="1"/>
    <col min="10033" max="10033" width="12" style="88" bestFit="1" customWidth="1"/>
    <col min="10034" max="10034" width="12" style="88" customWidth="1"/>
    <col min="10035" max="10035" width="9.33203125" style="88" bestFit="1" customWidth="1"/>
    <col min="10036" max="10036" width="12" style="88" bestFit="1" customWidth="1"/>
    <col min="10037" max="10037" width="13.109375" style="88" customWidth="1"/>
    <col min="10038" max="10038" width="9.109375" style="88" customWidth="1"/>
    <col min="10039" max="10039" width="9.88671875" style="88" bestFit="1" customWidth="1"/>
    <col min="10040" max="10241" width="9.109375" style="88" customWidth="1"/>
    <col min="10242" max="10242" width="4.5546875" style="88" customWidth="1"/>
    <col min="10243" max="10243" width="21.109375" style="88" customWidth="1"/>
    <col min="10244" max="10244" width="11.109375" style="88" bestFit="1" customWidth="1"/>
    <col min="10245" max="10252" width="11.5546875" style="88" bestFit="1" customWidth="1"/>
    <col min="10253" max="10253" width="12.44140625" style="88" bestFit="1" customWidth="1"/>
    <col min="10254" max="10254" width="12" style="88" bestFit="1" customWidth="1"/>
    <col min="10255" max="10262" width="12.44140625" style="88" bestFit="1" customWidth="1"/>
    <col min="10263" max="10263" width="12.88671875" style="88" bestFit="1" customWidth="1"/>
    <col min="10264" max="10264" width="12.44140625" style="88" bestFit="1" customWidth="1"/>
    <col min="10265" max="10273" width="12.88671875" style="88" bestFit="1" customWidth="1"/>
    <col min="10274" max="10274" width="12.44140625" style="88" bestFit="1" customWidth="1"/>
    <col min="10275" max="10276" width="12.88671875" style="88" bestFit="1" customWidth="1"/>
    <col min="10277" max="10277" width="10.6640625" style="88" bestFit="1" customWidth="1"/>
    <col min="10278" max="10278" width="13.6640625" style="88" customWidth="1"/>
    <col min="10279" max="10279" width="11.5546875" style="88" bestFit="1" customWidth="1"/>
    <col min="10280" max="10280" width="12.88671875" style="88" customWidth="1"/>
    <col min="10281" max="10281" width="17.88671875" style="88" bestFit="1" customWidth="1"/>
    <col min="10282" max="10283" width="13.109375" style="88" bestFit="1" customWidth="1"/>
    <col min="10284" max="10284" width="11.5546875" style="88" customWidth="1"/>
    <col min="10285" max="10285" width="13.44140625" style="88" bestFit="1" customWidth="1"/>
    <col min="10286" max="10286" width="9.6640625" style="88" customWidth="1"/>
    <col min="10287" max="10287" width="10.6640625" style="88" bestFit="1" customWidth="1"/>
    <col min="10288" max="10288" width="13.5546875" style="88" bestFit="1" customWidth="1"/>
    <col min="10289" max="10289" width="12" style="88" bestFit="1" customWidth="1"/>
    <col min="10290" max="10290" width="12" style="88" customWidth="1"/>
    <col min="10291" max="10291" width="9.33203125" style="88" bestFit="1" customWidth="1"/>
    <col min="10292" max="10292" width="12" style="88" bestFit="1" customWidth="1"/>
    <col min="10293" max="10293" width="13.109375" style="88" customWidth="1"/>
    <col min="10294" max="10294" width="9.109375" style="88" customWidth="1"/>
    <col min="10295" max="10295" width="9.88671875" style="88" bestFit="1" customWidth="1"/>
    <col min="10296" max="10497" width="9.109375" style="88" customWidth="1"/>
    <col min="10498" max="10498" width="4.5546875" style="88" customWidth="1"/>
    <col min="10499" max="10499" width="21.109375" style="88" customWidth="1"/>
    <col min="10500" max="10500" width="11.109375" style="88" bestFit="1" customWidth="1"/>
    <col min="10501" max="10508" width="11.5546875" style="88" bestFit="1" customWidth="1"/>
    <col min="10509" max="10509" width="12.44140625" style="88" bestFit="1" customWidth="1"/>
    <col min="10510" max="10510" width="12" style="88" bestFit="1" customWidth="1"/>
    <col min="10511" max="10518" width="12.44140625" style="88" bestFit="1" customWidth="1"/>
    <col min="10519" max="10519" width="12.88671875" style="88" bestFit="1" customWidth="1"/>
    <col min="10520" max="10520" width="12.44140625" style="88" bestFit="1" customWidth="1"/>
    <col min="10521" max="10529" width="12.88671875" style="88" bestFit="1" customWidth="1"/>
    <col min="10530" max="10530" width="12.44140625" style="88" bestFit="1" customWidth="1"/>
    <col min="10531" max="10532" width="12.88671875" style="88" bestFit="1" customWidth="1"/>
    <col min="10533" max="10533" width="10.6640625" style="88" bestFit="1" customWidth="1"/>
    <col min="10534" max="10534" width="13.6640625" style="88" customWidth="1"/>
    <col min="10535" max="10535" width="11.5546875" style="88" bestFit="1" customWidth="1"/>
    <col min="10536" max="10536" width="12.88671875" style="88" customWidth="1"/>
    <col min="10537" max="10537" width="17.88671875" style="88" bestFit="1" customWidth="1"/>
    <col min="10538" max="10539" width="13.109375" style="88" bestFit="1" customWidth="1"/>
    <col min="10540" max="10540" width="11.5546875" style="88" customWidth="1"/>
    <col min="10541" max="10541" width="13.44140625" style="88" bestFit="1" customWidth="1"/>
    <col min="10542" max="10542" width="9.6640625" style="88" customWidth="1"/>
    <col min="10543" max="10543" width="10.6640625" style="88" bestFit="1" customWidth="1"/>
    <col min="10544" max="10544" width="13.5546875" style="88" bestFit="1" customWidth="1"/>
    <col min="10545" max="10545" width="12" style="88" bestFit="1" customWidth="1"/>
    <col min="10546" max="10546" width="12" style="88" customWidth="1"/>
    <col min="10547" max="10547" width="9.33203125" style="88" bestFit="1" customWidth="1"/>
    <col min="10548" max="10548" width="12" style="88" bestFit="1" customWidth="1"/>
    <col min="10549" max="10549" width="13.109375" style="88" customWidth="1"/>
    <col min="10550" max="10550" width="9.109375" style="88" customWidth="1"/>
    <col min="10551" max="10551" width="9.88671875" style="88" bestFit="1" customWidth="1"/>
    <col min="10552" max="10753" width="9.109375" style="88" customWidth="1"/>
    <col min="10754" max="10754" width="4.5546875" style="88" customWidth="1"/>
    <col min="10755" max="10755" width="21.109375" style="88" customWidth="1"/>
    <col min="10756" max="10756" width="11.109375" style="88" bestFit="1" customWidth="1"/>
    <col min="10757" max="10764" width="11.5546875" style="88" bestFit="1" customWidth="1"/>
    <col min="10765" max="10765" width="12.44140625" style="88" bestFit="1" customWidth="1"/>
    <col min="10766" max="10766" width="12" style="88" bestFit="1" customWidth="1"/>
    <col min="10767" max="10774" width="12.44140625" style="88" bestFit="1" customWidth="1"/>
    <col min="10775" max="10775" width="12.88671875" style="88" bestFit="1" customWidth="1"/>
    <col min="10776" max="10776" width="12.44140625" style="88" bestFit="1" customWidth="1"/>
    <col min="10777" max="10785" width="12.88671875" style="88" bestFit="1" customWidth="1"/>
    <col min="10786" max="10786" width="12.44140625" style="88" bestFit="1" customWidth="1"/>
    <col min="10787" max="10788" width="12.88671875" style="88" bestFit="1" customWidth="1"/>
    <col min="10789" max="10789" width="10.6640625" style="88" bestFit="1" customWidth="1"/>
    <col min="10790" max="10790" width="13.6640625" style="88" customWidth="1"/>
    <col min="10791" max="10791" width="11.5546875" style="88" bestFit="1" customWidth="1"/>
    <col min="10792" max="10792" width="12.88671875" style="88" customWidth="1"/>
    <col min="10793" max="10793" width="17.88671875" style="88" bestFit="1" customWidth="1"/>
    <col min="10794" max="10795" width="13.109375" style="88" bestFit="1" customWidth="1"/>
    <col min="10796" max="10796" width="11.5546875" style="88" customWidth="1"/>
    <col min="10797" max="10797" width="13.44140625" style="88" bestFit="1" customWidth="1"/>
    <col min="10798" max="10798" width="9.6640625" style="88" customWidth="1"/>
    <col min="10799" max="10799" width="10.6640625" style="88" bestFit="1" customWidth="1"/>
    <col min="10800" max="10800" width="13.5546875" style="88" bestFit="1" customWidth="1"/>
    <col min="10801" max="10801" width="12" style="88" bestFit="1" customWidth="1"/>
    <col min="10802" max="10802" width="12" style="88" customWidth="1"/>
    <col min="10803" max="10803" width="9.33203125" style="88" bestFit="1" customWidth="1"/>
    <col min="10804" max="10804" width="12" style="88" bestFit="1" customWidth="1"/>
    <col min="10805" max="10805" width="13.109375" style="88" customWidth="1"/>
    <col min="10806" max="10806" width="9.109375" style="88" customWidth="1"/>
    <col min="10807" max="10807" width="9.88671875" style="88" bestFit="1" customWidth="1"/>
    <col min="10808" max="11009" width="9.109375" style="88" customWidth="1"/>
    <col min="11010" max="11010" width="4.5546875" style="88" customWidth="1"/>
    <col min="11011" max="11011" width="21.109375" style="88" customWidth="1"/>
    <col min="11012" max="11012" width="11.109375" style="88" bestFit="1" customWidth="1"/>
    <col min="11013" max="11020" width="11.5546875" style="88" bestFit="1" customWidth="1"/>
    <col min="11021" max="11021" width="12.44140625" style="88" bestFit="1" customWidth="1"/>
    <col min="11022" max="11022" width="12" style="88" bestFit="1" customWidth="1"/>
    <col min="11023" max="11030" width="12.44140625" style="88" bestFit="1" customWidth="1"/>
    <col min="11031" max="11031" width="12.88671875" style="88" bestFit="1" customWidth="1"/>
    <col min="11032" max="11032" width="12.44140625" style="88" bestFit="1" customWidth="1"/>
    <col min="11033" max="11041" width="12.88671875" style="88" bestFit="1" customWidth="1"/>
    <col min="11042" max="11042" width="12.44140625" style="88" bestFit="1" customWidth="1"/>
    <col min="11043" max="11044" width="12.88671875" style="88" bestFit="1" customWidth="1"/>
    <col min="11045" max="11045" width="10.6640625" style="88" bestFit="1" customWidth="1"/>
    <col min="11046" max="11046" width="13.6640625" style="88" customWidth="1"/>
    <col min="11047" max="11047" width="11.5546875" style="88" bestFit="1" customWidth="1"/>
    <col min="11048" max="11048" width="12.88671875" style="88" customWidth="1"/>
    <col min="11049" max="11049" width="17.88671875" style="88" bestFit="1" customWidth="1"/>
    <col min="11050" max="11051" width="13.109375" style="88" bestFit="1" customWidth="1"/>
    <col min="11052" max="11052" width="11.5546875" style="88" customWidth="1"/>
    <col min="11053" max="11053" width="13.44140625" style="88" bestFit="1" customWidth="1"/>
    <col min="11054" max="11054" width="9.6640625" style="88" customWidth="1"/>
    <col min="11055" max="11055" width="10.6640625" style="88" bestFit="1" customWidth="1"/>
    <col min="11056" max="11056" width="13.5546875" style="88" bestFit="1" customWidth="1"/>
    <col min="11057" max="11057" width="12" style="88" bestFit="1" customWidth="1"/>
    <col min="11058" max="11058" width="12" style="88" customWidth="1"/>
    <col min="11059" max="11059" width="9.33203125" style="88" bestFit="1" customWidth="1"/>
    <col min="11060" max="11060" width="12" style="88" bestFit="1" customWidth="1"/>
    <col min="11061" max="11061" width="13.109375" style="88" customWidth="1"/>
    <col min="11062" max="11062" width="9.109375" style="88" customWidth="1"/>
    <col min="11063" max="11063" width="9.88671875" style="88" bestFit="1" customWidth="1"/>
    <col min="11064" max="11265" width="9.109375" style="88" customWidth="1"/>
    <col min="11266" max="11266" width="4.5546875" style="88" customWidth="1"/>
    <col min="11267" max="11267" width="21.109375" style="88" customWidth="1"/>
    <col min="11268" max="11268" width="11.109375" style="88" bestFit="1" customWidth="1"/>
    <col min="11269" max="11276" width="11.5546875" style="88" bestFit="1" customWidth="1"/>
    <col min="11277" max="11277" width="12.44140625" style="88" bestFit="1" customWidth="1"/>
    <col min="11278" max="11278" width="12" style="88" bestFit="1" customWidth="1"/>
    <col min="11279" max="11286" width="12.44140625" style="88" bestFit="1" customWidth="1"/>
    <col min="11287" max="11287" width="12.88671875" style="88" bestFit="1" customWidth="1"/>
    <col min="11288" max="11288" width="12.44140625" style="88" bestFit="1" customWidth="1"/>
    <col min="11289" max="11297" width="12.88671875" style="88" bestFit="1" customWidth="1"/>
    <col min="11298" max="11298" width="12.44140625" style="88" bestFit="1" customWidth="1"/>
    <col min="11299" max="11300" width="12.88671875" style="88" bestFit="1" customWidth="1"/>
    <col min="11301" max="11301" width="10.6640625" style="88" bestFit="1" customWidth="1"/>
    <col min="11302" max="11302" width="13.6640625" style="88" customWidth="1"/>
    <col min="11303" max="11303" width="11.5546875" style="88" bestFit="1" customWidth="1"/>
    <col min="11304" max="11304" width="12.88671875" style="88" customWidth="1"/>
    <col min="11305" max="11305" width="17.88671875" style="88" bestFit="1" customWidth="1"/>
    <col min="11306" max="11307" width="13.109375" style="88" bestFit="1" customWidth="1"/>
    <col min="11308" max="11308" width="11.5546875" style="88" customWidth="1"/>
    <col min="11309" max="11309" width="13.44140625" style="88" bestFit="1" customWidth="1"/>
    <col min="11310" max="11310" width="9.6640625" style="88" customWidth="1"/>
    <col min="11311" max="11311" width="10.6640625" style="88" bestFit="1" customWidth="1"/>
    <col min="11312" max="11312" width="13.5546875" style="88" bestFit="1" customWidth="1"/>
    <col min="11313" max="11313" width="12" style="88" bestFit="1" customWidth="1"/>
    <col min="11314" max="11314" width="12" style="88" customWidth="1"/>
    <col min="11315" max="11315" width="9.33203125" style="88" bestFit="1" customWidth="1"/>
    <col min="11316" max="11316" width="12" style="88" bestFit="1" customWidth="1"/>
    <col min="11317" max="11317" width="13.109375" style="88" customWidth="1"/>
    <col min="11318" max="11318" width="9.109375" style="88" customWidth="1"/>
    <col min="11319" max="11319" width="9.88671875" style="88" bestFit="1" customWidth="1"/>
    <col min="11320" max="11521" width="9.109375" style="88" customWidth="1"/>
    <col min="11522" max="11522" width="4.5546875" style="88" customWidth="1"/>
    <col min="11523" max="11523" width="21.109375" style="88" customWidth="1"/>
    <col min="11524" max="11524" width="11.109375" style="88" bestFit="1" customWidth="1"/>
    <col min="11525" max="11532" width="11.5546875" style="88" bestFit="1" customWidth="1"/>
    <col min="11533" max="11533" width="12.44140625" style="88" bestFit="1" customWidth="1"/>
    <col min="11534" max="11534" width="12" style="88" bestFit="1" customWidth="1"/>
    <col min="11535" max="11542" width="12.44140625" style="88" bestFit="1" customWidth="1"/>
    <col min="11543" max="11543" width="12.88671875" style="88" bestFit="1" customWidth="1"/>
    <col min="11544" max="11544" width="12.44140625" style="88" bestFit="1" customWidth="1"/>
    <col min="11545" max="11553" width="12.88671875" style="88" bestFit="1" customWidth="1"/>
    <col min="11554" max="11554" width="12.44140625" style="88" bestFit="1" customWidth="1"/>
    <col min="11555" max="11556" width="12.88671875" style="88" bestFit="1" customWidth="1"/>
    <col min="11557" max="11557" width="10.6640625" style="88" bestFit="1" customWidth="1"/>
    <col min="11558" max="11558" width="13.6640625" style="88" customWidth="1"/>
    <col min="11559" max="11559" width="11.5546875" style="88" bestFit="1" customWidth="1"/>
    <col min="11560" max="11560" width="12.88671875" style="88" customWidth="1"/>
    <col min="11561" max="11561" width="17.88671875" style="88" bestFit="1" customWidth="1"/>
    <col min="11562" max="11563" width="13.109375" style="88" bestFit="1" customWidth="1"/>
    <col min="11564" max="11564" width="11.5546875" style="88" customWidth="1"/>
    <col min="11565" max="11565" width="13.44140625" style="88" bestFit="1" customWidth="1"/>
    <col min="11566" max="11566" width="9.6640625" style="88" customWidth="1"/>
    <col min="11567" max="11567" width="10.6640625" style="88" bestFit="1" customWidth="1"/>
    <col min="11568" max="11568" width="13.5546875" style="88" bestFit="1" customWidth="1"/>
    <col min="11569" max="11569" width="12" style="88" bestFit="1" customWidth="1"/>
    <col min="11570" max="11570" width="12" style="88" customWidth="1"/>
    <col min="11571" max="11571" width="9.33203125" style="88" bestFit="1" customWidth="1"/>
    <col min="11572" max="11572" width="12" style="88" bestFit="1" customWidth="1"/>
    <col min="11573" max="11573" width="13.109375" style="88" customWidth="1"/>
    <col min="11574" max="11574" width="9.109375" style="88" customWidth="1"/>
    <col min="11575" max="11575" width="9.88671875" style="88" bestFit="1" customWidth="1"/>
    <col min="11576" max="11777" width="9.109375" style="88" customWidth="1"/>
    <col min="11778" max="11778" width="4.5546875" style="88" customWidth="1"/>
    <col min="11779" max="11779" width="21.109375" style="88" customWidth="1"/>
    <col min="11780" max="11780" width="11.109375" style="88" bestFit="1" customWidth="1"/>
    <col min="11781" max="11788" width="11.5546875" style="88" bestFit="1" customWidth="1"/>
    <col min="11789" max="11789" width="12.44140625" style="88" bestFit="1" customWidth="1"/>
    <col min="11790" max="11790" width="12" style="88" bestFit="1" customWidth="1"/>
    <col min="11791" max="11798" width="12.44140625" style="88" bestFit="1" customWidth="1"/>
    <col min="11799" max="11799" width="12.88671875" style="88" bestFit="1" customWidth="1"/>
    <col min="11800" max="11800" width="12.44140625" style="88" bestFit="1" customWidth="1"/>
    <col min="11801" max="11809" width="12.88671875" style="88" bestFit="1" customWidth="1"/>
    <col min="11810" max="11810" width="12.44140625" style="88" bestFit="1" customWidth="1"/>
    <col min="11811" max="11812" width="12.88671875" style="88" bestFit="1" customWidth="1"/>
    <col min="11813" max="11813" width="10.6640625" style="88" bestFit="1" customWidth="1"/>
    <col min="11814" max="11814" width="13.6640625" style="88" customWidth="1"/>
    <col min="11815" max="11815" width="11.5546875" style="88" bestFit="1" customWidth="1"/>
    <col min="11816" max="11816" width="12.88671875" style="88" customWidth="1"/>
    <col min="11817" max="11817" width="17.88671875" style="88" bestFit="1" customWidth="1"/>
    <col min="11818" max="11819" width="13.109375" style="88" bestFit="1" customWidth="1"/>
    <col min="11820" max="11820" width="11.5546875" style="88" customWidth="1"/>
    <col min="11821" max="11821" width="13.44140625" style="88" bestFit="1" customWidth="1"/>
    <col min="11822" max="11822" width="9.6640625" style="88" customWidth="1"/>
    <col min="11823" max="11823" width="10.6640625" style="88" bestFit="1" customWidth="1"/>
    <col min="11824" max="11824" width="13.5546875" style="88" bestFit="1" customWidth="1"/>
    <col min="11825" max="11825" width="12" style="88" bestFit="1" customWidth="1"/>
    <col min="11826" max="11826" width="12" style="88" customWidth="1"/>
    <col min="11827" max="11827" width="9.33203125" style="88" bestFit="1" customWidth="1"/>
    <col min="11828" max="11828" width="12" style="88" bestFit="1" customWidth="1"/>
    <col min="11829" max="11829" width="13.109375" style="88" customWidth="1"/>
    <col min="11830" max="11830" width="9.109375" style="88" customWidth="1"/>
    <col min="11831" max="11831" width="9.88671875" style="88" bestFit="1" customWidth="1"/>
    <col min="11832" max="12033" width="9.109375" style="88" customWidth="1"/>
    <col min="12034" max="12034" width="4.5546875" style="88" customWidth="1"/>
    <col min="12035" max="12035" width="21.109375" style="88" customWidth="1"/>
    <col min="12036" max="12036" width="11.109375" style="88" bestFit="1" customWidth="1"/>
    <col min="12037" max="12044" width="11.5546875" style="88" bestFit="1" customWidth="1"/>
    <col min="12045" max="12045" width="12.44140625" style="88" bestFit="1" customWidth="1"/>
    <col min="12046" max="12046" width="12" style="88" bestFit="1" customWidth="1"/>
    <col min="12047" max="12054" width="12.44140625" style="88" bestFit="1" customWidth="1"/>
    <col min="12055" max="12055" width="12.88671875" style="88" bestFit="1" customWidth="1"/>
    <col min="12056" max="12056" width="12.44140625" style="88" bestFit="1" customWidth="1"/>
    <col min="12057" max="12065" width="12.88671875" style="88" bestFit="1" customWidth="1"/>
    <col min="12066" max="12066" width="12.44140625" style="88" bestFit="1" customWidth="1"/>
    <col min="12067" max="12068" width="12.88671875" style="88" bestFit="1" customWidth="1"/>
    <col min="12069" max="12069" width="10.6640625" style="88" bestFit="1" customWidth="1"/>
    <col min="12070" max="12070" width="13.6640625" style="88" customWidth="1"/>
    <col min="12071" max="12071" width="11.5546875" style="88" bestFit="1" customWidth="1"/>
    <col min="12072" max="12072" width="12.88671875" style="88" customWidth="1"/>
    <col min="12073" max="12073" width="17.88671875" style="88" bestFit="1" customWidth="1"/>
    <col min="12074" max="12075" width="13.109375" style="88" bestFit="1" customWidth="1"/>
    <col min="12076" max="12076" width="11.5546875" style="88" customWidth="1"/>
    <col min="12077" max="12077" width="13.44140625" style="88" bestFit="1" customWidth="1"/>
    <col min="12078" max="12078" width="9.6640625" style="88" customWidth="1"/>
    <col min="12079" max="12079" width="10.6640625" style="88" bestFit="1" customWidth="1"/>
    <col min="12080" max="12080" width="13.5546875" style="88" bestFit="1" customWidth="1"/>
    <col min="12081" max="12081" width="12" style="88" bestFit="1" customWidth="1"/>
    <col min="12082" max="12082" width="12" style="88" customWidth="1"/>
    <col min="12083" max="12083" width="9.33203125" style="88" bestFit="1" customWidth="1"/>
    <col min="12084" max="12084" width="12" style="88" bestFit="1" customWidth="1"/>
    <col min="12085" max="12085" width="13.109375" style="88" customWidth="1"/>
    <col min="12086" max="12086" width="9.109375" style="88" customWidth="1"/>
    <col min="12087" max="12087" width="9.88671875" style="88" bestFit="1" customWidth="1"/>
    <col min="12088" max="12289" width="9.109375" style="88" customWidth="1"/>
    <col min="12290" max="12290" width="4.5546875" style="88" customWidth="1"/>
    <col min="12291" max="12291" width="21.109375" style="88" customWidth="1"/>
    <col min="12292" max="12292" width="11.109375" style="88" bestFit="1" customWidth="1"/>
    <col min="12293" max="12300" width="11.5546875" style="88" bestFit="1" customWidth="1"/>
    <col min="12301" max="12301" width="12.44140625" style="88" bestFit="1" customWidth="1"/>
    <col min="12302" max="12302" width="12" style="88" bestFit="1" customWidth="1"/>
    <col min="12303" max="12310" width="12.44140625" style="88" bestFit="1" customWidth="1"/>
    <col min="12311" max="12311" width="12.88671875" style="88" bestFit="1" customWidth="1"/>
    <col min="12312" max="12312" width="12.44140625" style="88" bestFit="1" customWidth="1"/>
    <col min="12313" max="12321" width="12.88671875" style="88" bestFit="1" customWidth="1"/>
    <col min="12322" max="12322" width="12.44140625" style="88" bestFit="1" customWidth="1"/>
    <col min="12323" max="12324" width="12.88671875" style="88" bestFit="1" customWidth="1"/>
    <col min="12325" max="12325" width="10.6640625" style="88" bestFit="1" customWidth="1"/>
    <col min="12326" max="12326" width="13.6640625" style="88" customWidth="1"/>
    <col min="12327" max="12327" width="11.5546875" style="88" bestFit="1" customWidth="1"/>
    <col min="12328" max="12328" width="12.88671875" style="88" customWidth="1"/>
    <col min="12329" max="12329" width="17.88671875" style="88" bestFit="1" customWidth="1"/>
    <col min="12330" max="12331" width="13.109375" style="88" bestFit="1" customWidth="1"/>
    <col min="12332" max="12332" width="11.5546875" style="88" customWidth="1"/>
    <col min="12333" max="12333" width="13.44140625" style="88" bestFit="1" customWidth="1"/>
    <col min="12334" max="12334" width="9.6640625" style="88" customWidth="1"/>
    <col min="12335" max="12335" width="10.6640625" style="88" bestFit="1" customWidth="1"/>
    <col min="12336" max="12336" width="13.5546875" style="88" bestFit="1" customWidth="1"/>
    <col min="12337" max="12337" width="12" style="88" bestFit="1" customWidth="1"/>
    <col min="12338" max="12338" width="12" style="88" customWidth="1"/>
    <col min="12339" max="12339" width="9.33203125" style="88" bestFit="1" customWidth="1"/>
    <col min="12340" max="12340" width="12" style="88" bestFit="1" customWidth="1"/>
    <col min="12341" max="12341" width="13.109375" style="88" customWidth="1"/>
    <col min="12342" max="12342" width="9.109375" style="88" customWidth="1"/>
    <col min="12343" max="12343" width="9.88671875" style="88" bestFit="1" customWidth="1"/>
    <col min="12344" max="12545" width="9.109375" style="88" customWidth="1"/>
    <col min="12546" max="12546" width="4.5546875" style="88" customWidth="1"/>
    <col min="12547" max="12547" width="21.109375" style="88" customWidth="1"/>
    <col min="12548" max="12548" width="11.109375" style="88" bestFit="1" customWidth="1"/>
    <col min="12549" max="12556" width="11.5546875" style="88" bestFit="1" customWidth="1"/>
    <col min="12557" max="12557" width="12.44140625" style="88" bestFit="1" customWidth="1"/>
    <col min="12558" max="12558" width="12" style="88" bestFit="1" customWidth="1"/>
    <col min="12559" max="12566" width="12.44140625" style="88" bestFit="1" customWidth="1"/>
    <col min="12567" max="12567" width="12.88671875" style="88" bestFit="1" customWidth="1"/>
    <col min="12568" max="12568" width="12.44140625" style="88" bestFit="1" customWidth="1"/>
    <col min="12569" max="12577" width="12.88671875" style="88" bestFit="1" customWidth="1"/>
    <col min="12578" max="12578" width="12.44140625" style="88" bestFit="1" customWidth="1"/>
    <col min="12579" max="12580" width="12.88671875" style="88" bestFit="1" customWidth="1"/>
    <col min="12581" max="12581" width="10.6640625" style="88" bestFit="1" customWidth="1"/>
    <col min="12582" max="12582" width="13.6640625" style="88" customWidth="1"/>
    <col min="12583" max="12583" width="11.5546875" style="88" bestFit="1" customWidth="1"/>
    <col min="12584" max="12584" width="12.88671875" style="88" customWidth="1"/>
    <col min="12585" max="12585" width="17.88671875" style="88" bestFit="1" customWidth="1"/>
    <col min="12586" max="12587" width="13.109375" style="88" bestFit="1" customWidth="1"/>
    <col min="12588" max="12588" width="11.5546875" style="88" customWidth="1"/>
    <col min="12589" max="12589" width="13.44140625" style="88" bestFit="1" customWidth="1"/>
    <col min="12590" max="12590" width="9.6640625" style="88" customWidth="1"/>
    <col min="12591" max="12591" width="10.6640625" style="88" bestFit="1" customWidth="1"/>
    <col min="12592" max="12592" width="13.5546875" style="88" bestFit="1" customWidth="1"/>
    <col min="12593" max="12593" width="12" style="88" bestFit="1" customWidth="1"/>
    <col min="12594" max="12594" width="12" style="88" customWidth="1"/>
    <col min="12595" max="12595" width="9.33203125" style="88" bestFit="1" customWidth="1"/>
    <col min="12596" max="12596" width="12" style="88" bestFit="1" customWidth="1"/>
    <col min="12597" max="12597" width="13.109375" style="88" customWidth="1"/>
    <col min="12598" max="12598" width="9.109375" style="88" customWidth="1"/>
    <col min="12599" max="12599" width="9.88671875" style="88" bestFit="1" customWidth="1"/>
    <col min="12600" max="12801" width="9.109375" style="88" customWidth="1"/>
    <col min="12802" max="12802" width="4.5546875" style="88" customWidth="1"/>
    <col min="12803" max="12803" width="21.109375" style="88" customWidth="1"/>
    <col min="12804" max="12804" width="11.109375" style="88" bestFit="1" customWidth="1"/>
    <col min="12805" max="12812" width="11.5546875" style="88" bestFit="1" customWidth="1"/>
    <col min="12813" max="12813" width="12.44140625" style="88" bestFit="1" customWidth="1"/>
    <col min="12814" max="12814" width="12" style="88" bestFit="1" customWidth="1"/>
    <col min="12815" max="12822" width="12.44140625" style="88" bestFit="1" customWidth="1"/>
    <col min="12823" max="12823" width="12.88671875" style="88" bestFit="1" customWidth="1"/>
    <col min="12824" max="12824" width="12.44140625" style="88" bestFit="1" customWidth="1"/>
    <col min="12825" max="12833" width="12.88671875" style="88" bestFit="1" customWidth="1"/>
    <col min="12834" max="12834" width="12.44140625" style="88" bestFit="1" customWidth="1"/>
    <col min="12835" max="12836" width="12.88671875" style="88" bestFit="1" customWidth="1"/>
    <col min="12837" max="12837" width="10.6640625" style="88" bestFit="1" customWidth="1"/>
    <col min="12838" max="12838" width="13.6640625" style="88" customWidth="1"/>
    <col min="12839" max="12839" width="11.5546875" style="88" bestFit="1" customWidth="1"/>
    <col min="12840" max="12840" width="12.88671875" style="88" customWidth="1"/>
    <col min="12841" max="12841" width="17.88671875" style="88" bestFit="1" customWidth="1"/>
    <col min="12842" max="12843" width="13.109375" style="88" bestFit="1" customWidth="1"/>
    <col min="12844" max="12844" width="11.5546875" style="88" customWidth="1"/>
    <col min="12845" max="12845" width="13.44140625" style="88" bestFit="1" customWidth="1"/>
    <col min="12846" max="12846" width="9.6640625" style="88" customWidth="1"/>
    <col min="12847" max="12847" width="10.6640625" style="88" bestFit="1" customWidth="1"/>
    <col min="12848" max="12848" width="13.5546875" style="88" bestFit="1" customWidth="1"/>
    <col min="12849" max="12849" width="12" style="88" bestFit="1" customWidth="1"/>
    <col min="12850" max="12850" width="12" style="88" customWidth="1"/>
    <col min="12851" max="12851" width="9.33203125" style="88" bestFit="1" customWidth="1"/>
    <col min="12852" max="12852" width="12" style="88" bestFit="1" customWidth="1"/>
    <col min="12853" max="12853" width="13.109375" style="88" customWidth="1"/>
    <col min="12854" max="12854" width="9.109375" style="88" customWidth="1"/>
    <col min="12855" max="12855" width="9.88671875" style="88" bestFit="1" customWidth="1"/>
    <col min="12856" max="13057" width="9.109375" style="88" customWidth="1"/>
    <col min="13058" max="13058" width="4.5546875" style="88" customWidth="1"/>
    <col min="13059" max="13059" width="21.109375" style="88" customWidth="1"/>
    <col min="13060" max="13060" width="11.109375" style="88" bestFit="1" customWidth="1"/>
    <col min="13061" max="13068" width="11.5546875" style="88" bestFit="1" customWidth="1"/>
    <col min="13069" max="13069" width="12.44140625" style="88" bestFit="1" customWidth="1"/>
    <col min="13070" max="13070" width="12" style="88" bestFit="1" customWidth="1"/>
    <col min="13071" max="13078" width="12.44140625" style="88" bestFit="1" customWidth="1"/>
    <col min="13079" max="13079" width="12.88671875" style="88" bestFit="1" customWidth="1"/>
    <col min="13080" max="13080" width="12.44140625" style="88" bestFit="1" customWidth="1"/>
    <col min="13081" max="13089" width="12.88671875" style="88" bestFit="1" customWidth="1"/>
    <col min="13090" max="13090" width="12.44140625" style="88" bestFit="1" customWidth="1"/>
    <col min="13091" max="13092" width="12.88671875" style="88" bestFit="1" customWidth="1"/>
    <col min="13093" max="13093" width="10.6640625" style="88" bestFit="1" customWidth="1"/>
    <col min="13094" max="13094" width="13.6640625" style="88" customWidth="1"/>
    <col min="13095" max="13095" width="11.5546875" style="88" bestFit="1" customWidth="1"/>
    <col min="13096" max="13096" width="12.88671875" style="88" customWidth="1"/>
    <col min="13097" max="13097" width="17.88671875" style="88" bestFit="1" customWidth="1"/>
    <col min="13098" max="13099" width="13.109375" style="88" bestFit="1" customWidth="1"/>
    <col min="13100" max="13100" width="11.5546875" style="88" customWidth="1"/>
    <col min="13101" max="13101" width="13.44140625" style="88" bestFit="1" customWidth="1"/>
    <col min="13102" max="13102" width="9.6640625" style="88" customWidth="1"/>
    <col min="13103" max="13103" width="10.6640625" style="88" bestFit="1" customWidth="1"/>
    <col min="13104" max="13104" width="13.5546875" style="88" bestFit="1" customWidth="1"/>
    <col min="13105" max="13105" width="12" style="88" bestFit="1" customWidth="1"/>
    <col min="13106" max="13106" width="12" style="88" customWidth="1"/>
    <col min="13107" max="13107" width="9.33203125" style="88" bestFit="1" customWidth="1"/>
    <col min="13108" max="13108" width="12" style="88" bestFit="1" customWidth="1"/>
    <col min="13109" max="13109" width="13.109375" style="88" customWidth="1"/>
    <col min="13110" max="13110" width="9.109375" style="88" customWidth="1"/>
    <col min="13111" max="13111" width="9.88671875" style="88" bestFit="1" customWidth="1"/>
    <col min="13112" max="13313" width="9.109375" style="88" customWidth="1"/>
    <col min="13314" max="13314" width="4.5546875" style="88" customWidth="1"/>
    <col min="13315" max="13315" width="21.109375" style="88" customWidth="1"/>
    <col min="13316" max="13316" width="11.109375" style="88" bestFit="1" customWidth="1"/>
    <col min="13317" max="13324" width="11.5546875" style="88" bestFit="1" customWidth="1"/>
    <col min="13325" max="13325" width="12.44140625" style="88" bestFit="1" customWidth="1"/>
    <col min="13326" max="13326" width="12" style="88" bestFit="1" customWidth="1"/>
    <col min="13327" max="13334" width="12.44140625" style="88" bestFit="1" customWidth="1"/>
    <col min="13335" max="13335" width="12.88671875" style="88" bestFit="1" customWidth="1"/>
    <col min="13336" max="13336" width="12.44140625" style="88" bestFit="1" customWidth="1"/>
    <col min="13337" max="13345" width="12.88671875" style="88" bestFit="1" customWidth="1"/>
    <col min="13346" max="13346" width="12.44140625" style="88" bestFit="1" customWidth="1"/>
    <col min="13347" max="13348" width="12.88671875" style="88" bestFit="1" customWidth="1"/>
    <col min="13349" max="13349" width="10.6640625" style="88" bestFit="1" customWidth="1"/>
    <col min="13350" max="13350" width="13.6640625" style="88" customWidth="1"/>
    <col min="13351" max="13351" width="11.5546875" style="88" bestFit="1" customWidth="1"/>
    <col min="13352" max="13352" width="12.88671875" style="88" customWidth="1"/>
    <col min="13353" max="13353" width="17.88671875" style="88" bestFit="1" customWidth="1"/>
    <col min="13354" max="13355" width="13.109375" style="88" bestFit="1" customWidth="1"/>
    <col min="13356" max="13356" width="11.5546875" style="88" customWidth="1"/>
    <col min="13357" max="13357" width="13.44140625" style="88" bestFit="1" customWidth="1"/>
    <col min="13358" max="13358" width="9.6640625" style="88" customWidth="1"/>
    <col min="13359" max="13359" width="10.6640625" style="88" bestFit="1" customWidth="1"/>
    <col min="13360" max="13360" width="13.5546875" style="88" bestFit="1" customWidth="1"/>
    <col min="13361" max="13361" width="12" style="88" bestFit="1" customWidth="1"/>
    <col min="13362" max="13362" width="12" style="88" customWidth="1"/>
    <col min="13363" max="13363" width="9.33203125" style="88" bestFit="1" customWidth="1"/>
    <col min="13364" max="13364" width="12" style="88" bestFit="1" customWidth="1"/>
    <col min="13365" max="13365" width="13.109375" style="88" customWidth="1"/>
    <col min="13366" max="13366" width="9.109375" style="88" customWidth="1"/>
    <col min="13367" max="13367" width="9.88671875" style="88" bestFit="1" customWidth="1"/>
    <col min="13368" max="13569" width="9.109375" style="88" customWidth="1"/>
    <col min="13570" max="13570" width="4.5546875" style="88" customWidth="1"/>
    <col min="13571" max="13571" width="21.109375" style="88" customWidth="1"/>
    <col min="13572" max="13572" width="11.109375" style="88" bestFit="1" customWidth="1"/>
    <col min="13573" max="13580" width="11.5546875" style="88" bestFit="1" customWidth="1"/>
    <col min="13581" max="13581" width="12.44140625" style="88" bestFit="1" customWidth="1"/>
    <col min="13582" max="13582" width="12" style="88" bestFit="1" customWidth="1"/>
    <col min="13583" max="13590" width="12.44140625" style="88" bestFit="1" customWidth="1"/>
    <col min="13591" max="13591" width="12.88671875" style="88" bestFit="1" customWidth="1"/>
    <col min="13592" max="13592" width="12.44140625" style="88" bestFit="1" customWidth="1"/>
    <col min="13593" max="13601" width="12.88671875" style="88" bestFit="1" customWidth="1"/>
    <col min="13602" max="13602" width="12.44140625" style="88" bestFit="1" customWidth="1"/>
    <col min="13603" max="13604" width="12.88671875" style="88" bestFit="1" customWidth="1"/>
    <col min="13605" max="13605" width="10.6640625" style="88" bestFit="1" customWidth="1"/>
    <col min="13606" max="13606" width="13.6640625" style="88" customWidth="1"/>
    <col min="13607" max="13607" width="11.5546875" style="88" bestFit="1" customWidth="1"/>
    <col min="13608" max="13608" width="12.88671875" style="88" customWidth="1"/>
    <col min="13609" max="13609" width="17.88671875" style="88" bestFit="1" customWidth="1"/>
    <col min="13610" max="13611" width="13.109375" style="88" bestFit="1" customWidth="1"/>
    <col min="13612" max="13612" width="11.5546875" style="88" customWidth="1"/>
    <col min="13613" max="13613" width="13.44140625" style="88" bestFit="1" customWidth="1"/>
    <col min="13614" max="13614" width="9.6640625" style="88" customWidth="1"/>
    <col min="13615" max="13615" width="10.6640625" style="88" bestFit="1" customWidth="1"/>
    <col min="13616" max="13616" width="13.5546875" style="88" bestFit="1" customWidth="1"/>
    <col min="13617" max="13617" width="12" style="88" bestFit="1" customWidth="1"/>
    <col min="13618" max="13618" width="12" style="88" customWidth="1"/>
    <col min="13619" max="13619" width="9.33203125" style="88" bestFit="1" customWidth="1"/>
    <col min="13620" max="13620" width="12" style="88" bestFit="1" customWidth="1"/>
    <col min="13621" max="13621" width="13.109375" style="88" customWidth="1"/>
    <col min="13622" max="13622" width="9.109375" style="88" customWidth="1"/>
    <col min="13623" max="13623" width="9.88671875" style="88" bestFit="1" customWidth="1"/>
    <col min="13624" max="13825" width="9.109375" style="88" customWidth="1"/>
    <col min="13826" max="13826" width="4.5546875" style="88" customWidth="1"/>
    <col min="13827" max="13827" width="21.109375" style="88" customWidth="1"/>
    <col min="13828" max="13828" width="11.109375" style="88" bestFit="1" customWidth="1"/>
    <col min="13829" max="13836" width="11.5546875" style="88" bestFit="1" customWidth="1"/>
    <col min="13837" max="13837" width="12.44140625" style="88" bestFit="1" customWidth="1"/>
    <col min="13838" max="13838" width="12" style="88" bestFit="1" customWidth="1"/>
    <col min="13839" max="13846" width="12.44140625" style="88" bestFit="1" customWidth="1"/>
    <col min="13847" max="13847" width="12.88671875" style="88" bestFit="1" customWidth="1"/>
    <col min="13848" max="13848" width="12.44140625" style="88" bestFit="1" customWidth="1"/>
    <col min="13849" max="13857" width="12.88671875" style="88" bestFit="1" customWidth="1"/>
    <col min="13858" max="13858" width="12.44140625" style="88" bestFit="1" customWidth="1"/>
    <col min="13859" max="13860" width="12.88671875" style="88" bestFit="1" customWidth="1"/>
    <col min="13861" max="13861" width="10.6640625" style="88" bestFit="1" customWidth="1"/>
    <col min="13862" max="13862" width="13.6640625" style="88" customWidth="1"/>
    <col min="13863" max="13863" width="11.5546875" style="88" bestFit="1" customWidth="1"/>
    <col min="13864" max="13864" width="12.88671875" style="88" customWidth="1"/>
    <col min="13865" max="13865" width="17.88671875" style="88" bestFit="1" customWidth="1"/>
    <col min="13866" max="13867" width="13.109375" style="88" bestFit="1" customWidth="1"/>
    <col min="13868" max="13868" width="11.5546875" style="88" customWidth="1"/>
    <col min="13869" max="13869" width="13.44140625" style="88" bestFit="1" customWidth="1"/>
    <col min="13870" max="13870" width="9.6640625" style="88" customWidth="1"/>
    <col min="13871" max="13871" width="10.6640625" style="88" bestFit="1" customWidth="1"/>
    <col min="13872" max="13872" width="13.5546875" style="88" bestFit="1" customWidth="1"/>
    <col min="13873" max="13873" width="12" style="88" bestFit="1" customWidth="1"/>
    <col min="13874" max="13874" width="12" style="88" customWidth="1"/>
    <col min="13875" max="13875" width="9.33203125" style="88" bestFit="1" customWidth="1"/>
    <col min="13876" max="13876" width="12" style="88" bestFit="1" customWidth="1"/>
    <col min="13877" max="13877" width="13.109375" style="88" customWidth="1"/>
    <col min="13878" max="13878" width="9.109375" style="88" customWidth="1"/>
    <col min="13879" max="13879" width="9.88671875" style="88" bestFit="1" customWidth="1"/>
    <col min="13880" max="14081" width="9.109375" style="88" customWidth="1"/>
    <col min="14082" max="14082" width="4.5546875" style="88" customWidth="1"/>
    <col min="14083" max="14083" width="21.109375" style="88" customWidth="1"/>
    <col min="14084" max="14084" width="11.109375" style="88" bestFit="1" customWidth="1"/>
    <col min="14085" max="14092" width="11.5546875" style="88" bestFit="1" customWidth="1"/>
    <col min="14093" max="14093" width="12.44140625" style="88" bestFit="1" customWidth="1"/>
    <col min="14094" max="14094" width="12" style="88" bestFit="1" customWidth="1"/>
    <col min="14095" max="14102" width="12.44140625" style="88" bestFit="1" customWidth="1"/>
    <col min="14103" max="14103" width="12.88671875" style="88" bestFit="1" customWidth="1"/>
    <col min="14104" max="14104" width="12.44140625" style="88" bestFit="1" customWidth="1"/>
    <col min="14105" max="14113" width="12.88671875" style="88" bestFit="1" customWidth="1"/>
    <col min="14114" max="14114" width="12.44140625" style="88" bestFit="1" customWidth="1"/>
    <col min="14115" max="14116" width="12.88671875" style="88" bestFit="1" customWidth="1"/>
    <col min="14117" max="14117" width="10.6640625" style="88" bestFit="1" customWidth="1"/>
    <col min="14118" max="14118" width="13.6640625" style="88" customWidth="1"/>
    <col min="14119" max="14119" width="11.5546875" style="88" bestFit="1" customWidth="1"/>
    <col min="14120" max="14120" width="12.88671875" style="88" customWidth="1"/>
    <col min="14121" max="14121" width="17.88671875" style="88" bestFit="1" customWidth="1"/>
    <col min="14122" max="14123" width="13.109375" style="88" bestFit="1" customWidth="1"/>
    <col min="14124" max="14124" width="11.5546875" style="88" customWidth="1"/>
    <col min="14125" max="14125" width="13.44140625" style="88" bestFit="1" customWidth="1"/>
    <col min="14126" max="14126" width="9.6640625" style="88" customWidth="1"/>
    <col min="14127" max="14127" width="10.6640625" style="88" bestFit="1" customWidth="1"/>
    <col min="14128" max="14128" width="13.5546875" style="88" bestFit="1" customWidth="1"/>
    <col min="14129" max="14129" width="12" style="88" bestFit="1" customWidth="1"/>
    <col min="14130" max="14130" width="12" style="88" customWidth="1"/>
    <col min="14131" max="14131" width="9.33203125" style="88" bestFit="1" customWidth="1"/>
    <col min="14132" max="14132" width="12" style="88" bestFit="1" customWidth="1"/>
    <col min="14133" max="14133" width="13.109375" style="88" customWidth="1"/>
    <col min="14134" max="14134" width="9.109375" style="88" customWidth="1"/>
    <col min="14135" max="14135" width="9.88671875" style="88" bestFit="1" customWidth="1"/>
    <col min="14136" max="14337" width="9.109375" style="88" customWidth="1"/>
    <col min="14338" max="14338" width="4.5546875" style="88" customWidth="1"/>
    <col min="14339" max="14339" width="21.109375" style="88" customWidth="1"/>
    <col min="14340" max="14340" width="11.109375" style="88" bestFit="1" customWidth="1"/>
    <col min="14341" max="14348" width="11.5546875" style="88" bestFit="1" customWidth="1"/>
    <col min="14349" max="14349" width="12.44140625" style="88" bestFit="1" customWidth="1"/>
    <col min="14350" max="14350" width="12" style="88" bestFit="1" customWidth="1"/>
    <col min="14351" max="14358" width="12.44140625" style="88" bestFit="1" customWidth="1"/>
    <col min="14359" max="14359" width="12.88671875" style="88" bestFit="1" customWidth="1"/>
    <col min="14360" max="14360" width="12.44140625" style="88" bestFit="1" customWidth="1"/>
    <col min="14361" max="14369" width="12.88671875" style="88" bestFit="1" customWidth="1"/>
    <col min="14370" max="14370" width="12.44140625" style="88" bestFit="1" customWidth="1"/>
    <col min="14371" max="14372" width="12.88671875" style="88" bestFit="1" customWidth="1"/>
    <col min="14373" max="14373" width="10.6640625" style="88" bestFit="1" customWidth="1"/>
    <col min="14374" max="14374" width="13.6640625" style="88" customWidth="1"/>
    <col min="14375" max="14375" width="11.5546875" style="88" bestFit="1" customWidth="1"/>
    <col min="14376" max="14376" width="12.88671875" style="88" customWidth="1"/>
    <col min="14377" max="14377" width="17.88671875" style="88" bestFit="1" customWidth="1"/>
    <col min="14378" max="14379" width="13.109375" style="88" bestFit="1" customWidth="1"/>
    <col min="14380" max="14380" width="11.5546875" style="88" customWidth="1"/>
    <col min="14381" max="14381" width="13.44140625" style="88" bestFit="1" customWidth="1"/>
    <col min="14382" max="14382" width="9.6640625" style="88" customWidth="1"/>
    <col min="14383" max="14383" width="10.6640625" style="88" bestFit="1" customWidth="1"/>
    <col min="14384" max="14384" width="13.5546875" style="88" bestFit="1" customWidth="1"/>
    <col min="14385" max="14385" width="12" style="88" bestFit="1" customWidth="1"/>
    <col min="14386" max="14386" width="12" style="88" customWidth="1"/>
    <col min="14387" max="14387" width="9.33203125" style="88" bestFit="1" customWidth="1"/>
    <col min="14388" max="14388" width="12" style="88" bestFit="1" customWidth="1"/>
    <col min="14389" max="14389" width="13.109375" style="88" customWidth="1"/>
    <col min="14390" max="14390" width="9.109375" style="88" customWidth="1"/>
    <col min="14391" max="14391" width="9.88671875" style="88" bestFit="1" customWidth="1"/>
    <col min="14392" max="14593" width="9.109375" style="88" customWidth="1"/>
    <col min="14594" max="14594" width="4.5546875" style="88" customWidth="1"/>
    <col min="14595" max="14595" width="21.109375" style="88" customWidth="1"/>
    <col min="14596" max="14596" width="11.109375" style="88" bestFit="1" customWidth="1"/>
    <col min="14597" max="14604" width="11.5546875" style="88" bestFit="1" customWidth="1"/>
    <col min="14605" max="14605" width="12.44140625" style="88" bestFit="1" customWidth="1"/>
    <col min="14606" max="14606" width="12" style="88" bestFit="1" customWidth="1"/>
    <col min="14607" max="14614" width="12.44140625" style="88" bestFit="1" customWidth="1"/>
    <col min="14615" max="14615" width="12.88671875" style="88" bestFit="1" customWidth="1"/>
    <col min="14616" max="14616" width="12.44140625" style="88" bestFit="1" customWidth="1"/>
    <col min="14617" max="14625" width="12.88671875" style="88" bestFit="1" customWidth="1"/>
    <col min="14626" max="14626" width="12.44140625" style="88" bestFit="1" customWidth="1"/>
    <col min="14627" max="14628" width="12.88671875" style="88" bestFit="1" customWidth="1"/>
    <col min="14629" max="14629" width="10.6640625" style="88" bestFit="1" customWidth="1"/>
    <col min="14630" max="14630" width="13.6640625" style="88" customWidth="1"/>
    <col min="14631" max="14631" width="11.5546875" style="88" bestFit="1" customWidth="1"/>
    <col min="14632" max="14632" width="12.88671875" style="88" customWidth="1"/>
    <col min="14633" max="14633" width="17.88671875" style="88" bestFit="1" customWidth="1"/>
    <col min="14634" max="14635" width="13.109375" style="88" bestFit="1" customWidth="1"/>
    <col min="14636" max="14636" width="11.5546875" style="88" customWidth="1"/>
    <col min="14637" max="14637" width="13.44140625" style="88" bestFit="1" customWidth="1"/>
    <col min="14638" max="14638" width="9.6640625" style="88" customWidth="1"/>
    <col min="14639" max="14639" width="10.6640625" style="88" bestFit="1" customWidth="1"/>
    <col min="14640" max="14640" width="13.5546875" style="88" bestFit="1" customWidth="1"/>
    <col min="14641" max="14641" width="12" style="88" bestFit="1" customWidth="1"/>
    <col min="14642" max="14642" width="12" style="88" customWidth="1"/>
    <col min="14643" max="14643" width="9.33203125" style="88" bestFit="1" customWidth="1"/>
    <col min="14644" max="14644" width="12" style="88" bestFit="1" customWidth="1"/>
    <col min="14645" max="14645" width="13.109375" style="88" customWidth="1"/>
    <col min="14646" max="14646" width="9.109375" style="88" customWidth="1"/>
    <col min="14647" max="14647" width="9.88671875" style="88" bestFit="1" customWidth="1"/>
    <col min="14648" max="14849" width="9.109375" style="88" customWidth="1"/>
    <col min="14850" max="14850" width="4.5546875" style="88" customWidth="1"/>
    <col min="14851" max="14851" width="21.109375" style="88" customWidth="1"/>
    <col min="14852" max="14852" width="11.109375" style="88" bestFit="1" customWidth="1"/>
    <col min="14853" max="14860" width="11.5546875" style="88" bestFit="1" customWidth="1"/>
    <col min="14861" max="14861" width="12.44140625" style="88" bestFit="1" customWidth="1"/>
    <col min="14862" max="14862" width="12" style="88" bestFit="1" customWidth="1"/>
    <col min="14863" max="14870" width="12.44140625" style="88" bestFit="1" customWidth="1"/>
    <col min="14871" max="14871" width="12.88671875" style="88" bestFit="1" customWidth="1"/>
    <col min="14872" max="14872" width="12.44140625" style="88" bestFit="1" customWidth="1"/>
    <col min="14873" max="14881" width="12.88671875" style="88" bestFit="1" customWidth="1"/>
    <col min="14882" max="14882" width="12.44140625" style="88" bestFit="1" customWidth="1"/>
    <col min="14883" max="14884" width="12.88671875" style="88" bestFit="1" customWidth="1"/>
    <col min="14885" max="14885" width="10.6640625" style="88" bestFit="1" customWidth="1"/>
    <col min="14886" max="14886" width="13.6640625" style="88" customWidth="1"/>
    <col min="14887" max="14887" width="11.5546875" style="88" bestFit="1" customWidth="1"/>
    <col min="14888" max="14888" width="12.88671875" style="88" customWidth="1"/>
    <col min="14889" max="14889" width="17.88671875" style="88" bestFit="1" customWidth="1"/>
    <col min="14890" max="14891" width="13.109375" style="88" bestFit="1" customWidth="1"/>
    <col min="14892" max="14892" width="11.5546875" style="88" customWidth="1"/>
    <col min="14893" max="14893" width="13.44140625" style="88" bestFit="1" customWidth="1"/>
    <col min="14894" max="14894" width="9.6640625" style="88" customWidth="1"/>
    <col min="14895" max="14895" width="10.6640625" style="88" bestFit="1" customWidth="1"/>
    <col min="14896" max="14896" width="13.5546875" style="88" bestFit="1" customWidth="1"/>
    <col min="14897" max="14897" width="12" style="88" bestFit="1" customWidth="1"/>
    <col min="14898" max="14898" width="12" style="88" customWidth="1"/>
    <col min="14899" max="14899" width="9.33203125" style="88" bestFit="1" customWidth="1"/>
    <col min="14900" max="14900" width="12" style="88" bestFit="1" customWidth="1"/>
    <col min="14901" max="14901" width="13.109375" style="88" customWidth="1"/>
    <col min="14902" max="14902" width="9.109375" style="88" customWidth="1"/>
    <col min="14903" max="14903" width="9.88671875" style="88" bestFit="1" customWidth="1"/>
    <col min="14904" max="15105" width="9.109375" style="88" customWidth="1"/>
    <col min="15106" max="15106" width="4.5546875" style="88" customWidth="1"/>
    <col min="15107" max="15107" width="21.109375" style="88" customWidth="1"/>
    <col min="15108" max="15108" width="11.109375" style="88" bestFit="1" customWidth="1"/>
    <col min="15109" max="15116" width="11.5546875" style="88" bestFit="1" customWidth="1"/>
    <col min="15117" max="15117" width="12.44140625" style="88" bestFit="1" customWidth="1"/>
    <col min="15118" max="15118" width="12" style="88" bestFit="1" customWidth="1"/>
    <col min="15119" max="15126" width="12.44140625" style="88" bestFit="1" customWidth="1"/>
    <col min="15127" max="15127" width="12.88671875" style="88" bestFit="1" customWidth="1"/>
    <col min="15128" max="15128" width="12.44140625" style="88" bestFit="1" customWidth="1"/>
    <col min="15129" max="15137" width="12.88671875" style="88" bestFit="1" customWidth="1"/>
    <col min="15138" max="15138" width="12.44140625" style="88" bestFit="1" customWidth="1"/>
    <col min="15139" max="15140" width="12.88671875" style="88" bestFit="1" customWidth="1"/>
    <col min="15141" max="15141" width="10.6640625" style="88" bestFit="1" customWidth="1"/>
    <col min="15142" max="15142" width="13.6640625" style="88" customWidth="1"/>
    <col min="15143" max="15143" width="11.5546875" style="88" bestFit="1" customWidth="1"/>
    <col min="15144" max="15144" width="12.88671875" style="88" customWidth="1"/>
    <col min="15145" max="15145" width="17.88671875" style="88" bestFit="1" customWidth="1"/>
    <col min="15146" max="15147" width="13.109375" style="88" bestFit="1" customWidth="1"/>
    <col min="15148" max="15148" width="11.5546875" style="88" customWidth="1"/>
    <col min="15149" max="15149" width="13.44140625" style="88" bestFit="1" customWidth="1"/>
    <col min="15150" max="15150" width="9.6640625" style="88" customWidth="1"/>
    <col min="15151" max="15151" width="10.6640625" style="88" bestFit="1" customWidth="1"/>
    <col min="15152" max="15152" width="13.5546875" style="88" bestFit="1" customWidth="1"/>
    <col min="15153" max="15153" width="12" style="88" bestFit="1" customWidth="1"/>
    <col min="15154" max="15154" width="12" style="88" customWidth="1"/>
    <col min="15155" max="15155" width="9.33203125" style="88" bestFit="1" customWidth="1"/>
    <col min="15156" max="15156" width="12" style="88" bestFit="1" customWidth="1"/>
    <col min="15157" max="15157" width="13.109375" style="88" customWidth="1"/>
    <col min="15158" max="15158" width="9.109375" style="88" customWidth="1"/>
    <col min="15159" max="15159" width="9.88671875" style="88" bestFit="1" customWidth="1"/>
    <col min="15160" max="15361" width="9.109375" style="88" customWidth="1"/>
    <col min="15362" max="15362" width="4.5546875" style="88" customWidth="1"/>
    <col min="15363" max="15363" width="21.109375" style="88" customWidth="1"/>
    <col min="15364" max="15364" width="11.109375" style="88" bestFit="1" customWidth="1"/>
    <col min="15365" max="15372" width="11.5546875" style="88" bestFit="1" customWidth="1"/>
    <col min="15373" max="15373" width="12.44140625" style="88" bestFit="1" customWidth="1"/>
    <col min="15374" max="15374" width="12" style="88" bestFit="1" customWidth="1"/>
    <col min="15375" max="15382" width="12.44140625" style="88" bestFit="1" customWidth="1"/>
    <col min="15383" max="15383" width="12.88671875" style="88" bestFit="1" customWidth="1"/>
    <col min="15384" max="15384" width="12.44140625" style="88" bestFit="1" customWidth="1"/>
    <col min="15385" max="15393" width="12.88671875" style="88" bestFit="1" customWidth="1"/>
    <col min="15394" max="15394" width="12.44140625" style="88" bestFit="1" customWidth="1"/>
    <col min="15395" max="15396" width="12.88671875" style="88" bestFit="1" customWidth="1"/>
    <col min="15397" max="15397" width="10.6640625" style="88" bestFit="1" customWidth="1"/>
    <col min="15398" max="15398" width="13.6640625" style="88" customWidth="1"/>
    <col min="15399" max="15399" width="11.5546875" style="88" bestFit="1" customWidth="1"/>
    <col min="15400" max="15400" width="12.88671875" style="88" customWidth="1"/>
    <col min="15401" max="15401" width="17.88671875" style="88" bestFit="1" customWidth="1"/>
    <col min="15402" max="15403" width="13.109375" style="88" bestFit="1" customWidth="1"/>
    <col min="15404" max="15404" width="11.5546875" style="88" customWidth="1"/>
    <col min="15405" max="15405" width="13.44140625" style="88" bestFit="1" customWidth="1"/>
    <col min="15406" max="15406" width="9.6640625" style="88" customWidth="1"/>
    <col min="15407" max="15407" width="10.6640625" style="88" bestFit="1" customWidth="1"/>
    <col min="15408" max="15408" width="13.5546875" style="88" bestFit="1" customWidth="1"/>
    <col min="15409" max="15409" width="12" style="88" bestFit="1" customWidth="1"/>
    <col min="15410" max="15410" width="12" style="88" customWidth="1"/>
    <col min="15411" max="15411" width="9.33203125" style="88" bestFit="1" customWidth="1"/>
    <col min="15412" max="15412" width="12" style="88" bestFit="1" customWidth="1"/>
    <col min="15413" max="15413" width="13.109375" style="88" customWidth="1"/>
    <col min="15414" max="15414" width="9.109375" style="88" customWidth="1"/>
    <col min="15415" max="15415" width="9.88671875" style="88" bestFit="1" customWidth="1"/>
    <col min="15416" max="15617" width="9.109375" style="88" customWidth="1"/>
    <col min="15618" max="15618" width="4.5546875" style="88" customWidth="1"/>
    <col min="15619" max="15619" width="21.109375" style="88" customWidth="1"/>
    <col min="15620" max="15620" width="11.109375" style="88" bestFit="1" customWidth="1"/>
    <col min="15621" max="15628" width="11.5546875" style="88" bestFit="1" customWidth="1"/>
    <col min="15629" max="15629" width="12.44140625" style="88" bestFit="1" customWidth="1"/>
    <col min="15630" max="15630" width="12" style="88" bestFit="1" customWidth="1"/>
    <col min="15631" max="15638" width="12.44140625" style="88" bestFit="1" customWidth="1"/>
    <col min="15639" max="15639" width="12.88671875" style="88" bestFit="1" customWidth="1"/>
    <col min="15640" max="15640" width="12.44140625" style="88" bestFit="1" customWidth="1"/>
    <col min="15641" max="15649" width="12.88671875" style="88" bestFit="1" customWidth="1"/>
    <col min="15650" max="15650" width="12.44140625" style="88" bestFit="1" customWidth="1"/>
    <col min="15651" max="15652" width="12.88671875" style="88" bestFit="1" customWidth="1"/>
    <col min="15653" max="15653" width="10.6640625" style="88" bestFit="1" customWidth="1"/>
    <col min="15654" max="15654" width="13.6640625" style="88" customWidth="1"/>
    <col min="15655" max="15655" width="11.5546875" style="88" bestFit="1" customWidth="1"/>
    <col min="15656" max="15656" width="12.88671875" style="88" customWidth="1"/>
    <col min="15657" max="15657" width="17.88671875" style="88" bestFit="1" customWidth="1"/>
    <col min="15658" max="15659" width="13.109375" style="88" bestFit="1" customWidth="1"/>
    <col min="15660" max="15660" width="11.5546875" style="88" customWidth="1"/>
    <col min="15661" max="15661" width="13.44140625" style="88" bestFit="1" customWidth="1"/>
    <col min="15662" max="15662" width="9.6640625" style="88" customWidth="1"/>
    <col min="15663" max="15663" width="10.6640625" style="88" bestFit="1" customWidth="1"/>
    <col min="15664" max="15664" width="13.5546875" style="88" bestFit="1" customWidth="1"/>
    <col min="15665" max="15665" width="12" style="88" bestFit="1" customWidth="1"/>
    <col min="15666" max="15666" width="12" style="88" customWidth="1"/>
    <col min="15667" max="15667" width="9.33203125" style="88" bestFit="1" customWidth="1"/>
    <col min="15668" max="15668" width="12" style="88" bestFit="1" customWidth="1"/>
    <col min="15669" max="15669" width="13.109375" style="88" customWidth="1"/>
    <col min="15670" max="15670" width="9.109375" style="88" customWidth="1"/>
    <col min="15671" max="15671" width="9.88671875" style="88" bestFit="1" customWidth="1"/>
    <col min="15672" max="15873" width="9.109375" style="88" customWidth="1"/>
    <col min="15874" max="15874" width="4.5546875" style="88" customWidth="1"/>
    <col min="15875" max="15875" width="21.109375" style="88" customWidth="1"/>
    <col min="15876" max="15876" width="11.109375" style="88" bestFit="1" customWidth="1"/>
    <col min="15877" max="15884" width="11.5546875" style="88" bestFit="1" customWidth="1"/>
    <col min="15885" max="15885" width="12.44140625" style="88" bestFit="1" customWidth="1"/>
    <col min="15886" max="15886" width="12" style="88" bestFit="1" customWidth="1"/>
    <col min="15887" max="15894" width="12.44140625" style="88" bestFit="1" customWidth="1"/>
    <col min="15895" max="15895" width="12.88671875" style="88" bestFit="1" customWidth="1"/>
    <col min="15896" max="15896" width="12.44140625" style="88" bestFit="1" customWidth="1"/>
    <col min="15897" max="15905" width="12.88671875" style="88" bestFit="1" customWidth="1"/>
    <col min="15906" max="15906" width="12.44140625" style="88" bestFit="1" customWidth="1"/>
    <col min="15907" max="15908" width="12.88671875" style="88" bestFit="1" customWidth="1"/>
    <col min="15909" max="15909" width="10.6640625" style="88" bestFit="1" customWidth="1"/>
    <col min="15910" max="15910" width="13.6640625" style="88" customWidth="1"/>
    <col min="15911" max="15911" width="11.5546875" style="88" bestFit="1" customWidth="1"/>
    <col min="15912" max="15912" width="12.88671875" style="88" customWidth="1"/>
    <col min="15913" max="15913" width="17.88671875" style="88" bestFit="1" customWidth="1"/>
    <col min="15914" max="15915" width="13.109375" style="88" bestFit="1" customWidth="1"/>
    <col min="15916" max="15916" width="11.5546875" style="88" customWidth="1"/>
    <col min="15917" max="15917" width="13.44140625" style="88" bestFit="1" customWidth="1"/>
    <col min="15918" max="15918" width="9.6640625" style="88" customWidth="1"/>
    <col min="15919" max="15919" width="10.6640625" style="88" bestFit="1" customWidth="1"/>
    <col min="15920" max="15920" width="13.5546875" style="88" bestFit="1" customWidth="1"/>
    <col min="15921" max="15921" width="12" style="88" bestFit="1" customWidth="1"/>
    <col min="15922" max="15922" width="12" style="88" customWidth="1"/>
    <col min="15923" max="15923" width="9.33203125" style="88" bestFit="1" customWidth="1"/>
    <col min="15924" max="15924" width="12" style="88" bestFit="1" customWidth="1"/>
    <col min="15925" max="15925" width="13.109375" style="88" customWidth="1"/>
    <col min="15926" max="15926" width="9.109375" style="88" customWidth="1"/>
    <col min="15927" max="15927" width="9.88671875" style="88" bestFit="1" customWidth="1"/>
    <col min="15928" max="16129" width="9.109375" style="88" customWidth="1"/>
    <col min="16130" max="16130" width="4.5546875" style="88" customWidth="1"/>
    <col min="16131" max="16131" width="21.109375" style="88" customWidth="1"/>
    <col min="16132" max="16132" width="11.109375" style="88" bestFit="1" customWidth="1"/>
    <col min="16133" max="16140" width="11.5546875" style="88" bestFit="1" customWidth="1"/>
    <col min="16141" max="16141" width="12.44140625" style="88" bestFit="1" customWidth="1"/>
    <col min="16142" max="16142" width="12" style="88" bestFit="1" customWidth="1"/>
    <col min="16143" max="16150" width="12.44140625" style="88" bestFit="1" customWidth="1"/>
    <col min="16151" max="16151" width="12.88671875" style="88" bestFit="1" customWidth="1"/>
    <col min="16152" max="16152" width="12.44140625" style="88" bestFit="1" customWidth="1"/>
    <col min="16153" max="16161" width="12.88671875" style="88" bestFit="1" customWidth="1"/>
    <col min="16162" max="16162" width="12.44140625" style="88" bestFit="1" customWidth="1"/>
    <col min="16163" max="16164" width="12.88671875" style="88" bestFit="1" customWidth="1"/>
    <col min="16165" max="16165" width="10.6640625" style="88" bestFit="1" customWidth="1"/>
    <col min="16166" max="16166" width="13.6640625" style="88" customWidth="1"/>
    <col min="16167" max="16167" width="11.5546875" style="88" bestFit="1" customWidth="1"/>
    <col min="16168" max="16168" width="12.88671875" style="88" customWidth="1"/>
    <col min="16169" max="16169" width="17.88671875" style="88" bestFit="1" customWidth="1"/>
    <col min="16170" max="16171" width="13.109375" style="88" bestFit="1" customWidth="1"/>
    <col min="16172" max="16172" width="11.5546875" style="88" customWidth="1"/>
    <col min="16173" max="16173" width="13.44140625" style="88" bestFit="1" customWidth="1"/>
    <col min="16174" max="16174" width="9.6640625" style="88" customWidth="1"/>
    <col min="16175" max="16175" width="10.6640625" style="88" bestFit="1" customWidth="1"/>
    <col min="16176" max="16176" width="13.5546875" style="88" bestFit="1" customWidth="1"/>
    <col min="16177" max="16177" width="12" style="88" bestFit="1" customWidth="1"/>
    <col min="16178" max="16178" width="12" style="88" customWidth="1"/>
    <col min="16179" max="16179" width="9.33203125" style="88" bestFit="1" customWidth="1"/>
    <col min="16180" max="16180" width="12" style="88" bestFit="1" customWidth="1"/>
    <col min="16181" max="16181" width="13.109375" style="88" customWidth="1"/>
    <col min="16182" max="16182" width="9.109375" style="88" customWidth="1"/>
    <col min="16183" max="16183" width="9.88671875" style="88" bestFit="1" customWidth="1"/>
    <col min="16184" max="16384" width="9.109375" style="88" customWidth="1"/>
  </cols>
  <sheetData>
    <row r="1" spans="1:62" s="96" customFormat="1" ht="19.5" hidden="1" customHeight="1" x14ac:dyDescent="0.3">
      <c r="A1" s="93"/>
      <c r="B1" s="94" t="str">
        <f>ANALISA!C1</f>
        <v>GRAMEDIA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5"/>
      <c r="AS1" s="94"/>
      <c r="AT1" s="95"/>
      <c r="AU1" s="94"/>
      <c r="AV1" s="94"/>
      <c r="AW1" s="94"/>
      <c r="AX1" s="94"/>
      <c r="BA1" s="97"/>
      <c r="BB1" s="98"/>
      <c r="BC1" s="97"/>
      <c r="BE1" s="97"/>
      <c r="BF1" s="97"/>
      <c r="BG1" s="97"/>
    </row>
    <row r="2" spans="1:62" s="96" customFormat="1" ht="19.5" hidden="1" customHeight="1" x14ac:dyDescent="0.3">
      <c r="B2" s="94" t="s">
        <v>71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94"/>
      <c r="AQ2" s="94"/>
      <c r="AR2" s="95"/>
      <c r="AS2" s="94"/>
      <c r="AT2" s="95"/>
      <c r="AU2" s="94"/>
      <c r="AV2" s="94"/>
      <c r="AW2" s="94"/>
      <c r="AX2" s="94"/>
      <c r="BA2" s="97"/>
      <c r="BB2" s="98"/>
      <c r="BC2" s="97"/>
      <c r="BE2" s="97"/>
      <c r="BF2" s="97"/>
      <c r="BG2" s="97"/>
    </row>
    <row r="3" spans="1:62" s="96" customFormat="1" ht="19.5" hidden="1" customHeight="1" x14ac:dyDescent="0.3">
      <c r="B3" s="94" t="str">
        <f>ANALISA!C2</f>
        <v>REKONSILIASI OMSET BULAN :</v>
      </c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5"/>
      <c r="AS3" s="94"/>
      <c r="AT3" s="95"/>
      <c r="AU3" s="94"/>
      <c r="AV3" s="94"/>
      <c r="AW3" s="94"/>
      <c r="AX3" s="94"/>
      <c r="BA3" s="97"/>
      <c r="BB3" s="98"/>
      <c r="BC3" s="97"/>
      <c r="BE3" s="97"/>
      <c r="BF3" s="97"/>
      <c r="BG3" s="97"/>
    </row>
    <row r="4" spans="1:62" ht="19.5" hidden="1" customHeight="1" thickBot="1" x14ac:dyDescent="0.35">
      <c r="B4" s="99"/>
      <c r="G4" s="100"/>
      <c r="H4" s="100"/>
      <c r="I4" s="100"/>
      <c r="J4" s="101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2"/>
      <c r="AO4" s="102"/>
      <c r="AS4" s="104"/>
      <c r="AU4" s="105"/>
      <c r="BA4" s="97"/>
      <c r="BB4" s="98"/>
      <c r="BC4" s="97"/>
      <c r="BE4" s="97"/>
      <c r="BF4" s="97"/>
      <c r="BG4" s="97"/>
    </row>
    <row r="5" spans="1:62" s="106" customFormat="1" ht="19.5" customHeight="1" thickBot="1" x14ac:dyDescent="0.35">
      <c r="B5" s="107"/>
      <c r="AM5" s="108"/>
      <c r="AN5" s="108"/>
      <c r="AO5" s="108"/>
      <c r="AP5" s="108"/>
      <c r="AQ5" s="108"/>
      <c r="AR5" s="95"/>
      <c r="AS5" s="108"/>
      <c r="AT5" s="95"/>
      <c r="AU5" s="109"/>
      <c r="AV5" s="108"/>
      <c r="AW5" s="108"/>
      <c r="AX5" s="110"/>
      <c r="BA5" s="104"/>
      <c r="BB5" s="111"/>
      <c r="BC5" s="104"/>
      <c r="BE5" s="104"/>
      <c r="BF5" s="104"/>
      <c r="BG5" s="104"/>
    </row>
    <row r="6" spans="1:62" s="106" customFormat="1" ht="19.5" customHeight="1" x14ac:dyDescent="0.3">
      <c r="B6" s="192" t="s">
        <v>72</v>
      </c>
      <c r="C6" s="113">
        <f>'NIK KASIR'!$A2</f>
        <v>0</v>
      </c>
      <c r="D6" s="113">
        <f>'NIK KASIR'!$A3</f>
        <v>0</v>
      </c>
      <c r="E6" s="113">
        <f>'NIK KASIR'!$A4</f>
        <v>0</v>
      </c>
      <c r="F6" s="113">
        <f>'NIK KASIR'!$A5</f>
        <v>0</v>
      </c>
      <c r="G6" s="113">
        <f>'NIK KASIR'!$A6</f>
        <v>0</v>
      </c>
      <c r="H6" s="113">
        <f>'NIK KASIR'!$A7</f>
        <v>0</v>
      </c>
      <c r="I6" s="113">
        <f>'NIK KASIR'!$A8</f>
        <v>0</v>
      </c>
      <c r="J6" s="113">
        <f>'NIK KASIR'!$A9</f>
        <v>0</v>
      </c>
      <c r="K6" s="113">
        <f>'NIK KASIR'!$A10</f>
        <v>0</v>
      </c>
      <c r="L6" s="113">
        <f>'NIK KASIR'!$A11</f>
        <v>0</v>
      </c>
      <c r="M6" s="113">
        <f>'NIK KASIR'!$A12</f>
        <v>0</v>
      </c>
      <c r="N6" s="113">
        <f>'NIK KASIR'!$A13</f>
        <v>0</v>
      </c>
      <c r="O6" s="113">
        <f>'NIK KASIR'!$A14</f>
        <v>0</v>
      </c>
      <c r="P6" s="113">
        <f>'NIK KASIR'!$A15</f>
        <v>0</v>
      </c>
      <c r="Q6" s="113">
        <f>'NIK KASIR'!$A16</f>
        <v>0</v>
      </c>
      <c r="R6" s="113">
        <f>'NIK KASIR'!$A17</f>
        <v>0</v>
      </c>
      <c r="S6" s="113">
        <f>'NIK KASIR'!$A18</f>
        <v>0</v>
      </c>
      <c r="T6" s="113">
        <f>'NIK KASIR'!$A19</f>
        <v>0</v>
      </c>
      <c r="U6" s="113">
        <f>'NIK KASIR'!$A20</f>
        <v>0</v>
      </c>
      <c r="V6" s="113">
        <f>'NIK KASIR'!$A21</f>
        <v>0</v>
      </c>
      <c r="W6" s="113">
        <f>'NIK KASIR'!$A22</f>
        <v>0</v>
      </c>
      <c r="X6" s="113">
        <f>'NIK KASIR'!$A23</f>
        <v>0</v>
      </c>
      <c r="Y6" s="113">
        <f>'NIK KASIR'!$A24</f>
        <v>0</v>
      </c>
      <c r="Z6" s="113">
        <f>'NIK KASIR'!$A25</f>
        <v>0</v>
      </c>
      <c r="AA6" s="113">
        <f>'NIK KASIR'!$A26</f>
        <v>0</v>
      </c>
      <c r="AB6" s="113">
        <f>'NIK KASIR'!$A27</f>
        <v>0</v>
      </c>
      <c r="AC6" s="113">
        <f>'NIK KASIR'!$A28</f>
        <v>0</v>
      </c>
      <c r="AD6" s="113">
        <f>'NIK KASIR'!$A29</f>
        <v>0</v>
      </c>
      <c r="AE6" s="113">
        <f>'NIK KASIR'!$A30</f>
        <v>0</v>
      </c>
      <c r="AF6" s="113">
        <f>'NIK KASIR'!$A31</f>
        <v>0</v>
      </c>
      <c r="AG6" s="113">
        <f>'NIK KASIR'!$A32</f>
        <v>0</v>
      </c>
      <c r="AH6" s="113">
        <f>'NIK KASIR'!$A33</f>
        <v>0</v>
      </c>
      <c r="AI6" s="113">
        <f>'NIK KASIR'!$A34</f>
        <v>0</v>
      </c>
      <c r="AJ6" s="196" t="s">
        <v>73</v>
      </c>
      <c r="AK6" s="189" t="s">
        <v>65</v>
      </c>
      <c r="AL6" s="193" t="s">
        <v>34</v>
      </c>
      <c r="AM6" s="108"/>
      <c r="AN6" s="108"/>
      <c r="AO6" s="108"/>
      <c r="AP6" s="108"/>
      <c r="AQ6" s="108"/>
      <c r="AR6" s="95"/>
      <c r="AS6" s="108"/>
      <c r="AT6" s="95"/>
      <c r="AU6" s="109"/>
      <c r="AV6" s="108"/>
      <c r="AW6" s="108"/>
      <c r="AX6" s="110"/>
      <c r="BA6" s="104"/>
      <c r="BB6" s="111"/>
      <c r="BC6" s="104"/>
      <c r="BE6" s="104"/>
      <c r="BF6" s="104"/>
      <c r="BG6" s="104"/>
    </row>
    <row r="7" spans="1:62" s="106" customFormat="1" ht="19.5" customHeight="1" thickBot="1" x14ac:dyDescent="0.35">
      <c r="B7" s="191"/>
      <c r="C7" s="114" t="s">
        <v>74</v>
      </c>
      <c r="D7" s="114" t="s">
        <v>75</v>
      </c>
      <c r="E7" s="114" t="s">
        <v>76</v>
      </c>
      <c r="F7" s="114" t="s">
        <v>77</v>
      </c>
      <c r="G7" s="114" t="s">
        <v>78</v>
      </c>
      <c r="H7" s="114" t="s">
        <v>79</v>
      </c>
      <c r="I7" s="114" t="s">
        <v>80</v>
      </c>
      <c r="J7" s="114" t="s">
        <v>81</v>
      </c>
      <c r="K7" s="114" t="s">
        <v>82</v>
      </c>
      <c r="L7" s="114" t="s">
        <v>83</v>
      </c>
      <c r="M7" s="114" t="s">
        <v>84</v>
      </c>
      <c r="N7" s="114" t="s">
        <v>85</v>
      </c>
      <c r="O7" s="114" t="s">
        <v>86</v>
      </c>
      <c r="P7" s="114" t="s">
        <v>87</v>
      </c>
      <c r="Q7" s="114" t="s">
        <v>88</v>
      </c>
      <c r="R7" s="114" t="s">
        <v>89</v>
      </c>
      <c r="S7" s="114" t="s">
        <v>90</v>
      </c>
      <c r="T7" s="114" t="s">
        <v>91</v>
      </c>
      <c r="U7" s="114" t="s">
        <v>92</v>
      </c>
      <c r="V7" s="114" t="s">
        <v>93</v>
      </c>
      <c r="W7" s="114" t="s">
        <v>94</v>
      </c>
      <c r="X7" s="114" t="s">
        <v>95</v>
      </c>
      <c r="Y7" s="114" t="s">
        <v>96</v>
      </c>
      <c r="Z7" s="114" t="s">
        <v>97</v>
      </c>
      <c r="AA7" s="114" t="s">
        <v>98</v>
      </c>
      <c r="AB7" s="114" t="s">
        <v>99</v>
      </c>
      <c r="AC7" s="114" t="s">
        <v>100</v>
      </c>
      <c r="AD7" s="114" t="s">
        <v>101</v>
      </c>
      <c r="AE7" s="114" t="s">
        <v>102</v>
      </c>
      <c r="AF7" s="114" t="s">
        <v>103</v>
      </c>
      <c r="AG7" s="114" t="s">
        <v>104</v>
      </c>
      <c r="AH7" s="114" t="s">
        <v>105</v>
      </c>
      <c r="AI7" s="114" t="s">
        <v>106</v>
      </c>
      <c r="AJ7" s="183"/>
      <c r="AK7" s="190"/>
      <c r="AL7" s="194"/>
      <c r="AM7" s="108"/>
      <c r="AN7" s="108"/>
      <c r="AO7" s="108"/>
      <c r="AP7" s="108"/>
      <c r="AQ7" s="108"/>
      <c r="AR7" s="95"/>
      <c r="AS7" s="108"/>
      <c r="AT7" s="95"/>
      <c r="AU7" s="109"/>
      <c r="AV7" s="108"/>
      <c r="AW7" s="108"/>
      <c r="AX7" s="110"/>
      <c r="BA7" s="104"/>
      <c r="BB7" s="111"/>
      <c r="BC7" s="104"/>
      <c r="BE7" s="104"/>
      <c r="BF7" s="104"/>
      <c r="BG7" s="104"/>
    </row>
    <row r="8" spans="1:62" s="106" customFormat="1" ht="19.5" customHeight="1" x14ac:dyDescent="0.3">
      <c r="B8" s="112" t="s">
        <v>107</v>
      </c>
      <c r="C8" s="115">
        <f>IF(ISERROR(VLOOKUP(C6,KARY!$B$1:$C$62016,2,FALSE)),0,(VLOOKUP(C6,KARY!$B$1:$C$62016,2,FALSE)))</f>
        <v>0</v>
      </c>
      <c r="D8" s="115">
        <f>IF(ISERROR(VLOOKUP(D6,KARY!$B$1:$C$62016,2,FALSE)),0,(VLOOKUP(D6,KARY!$B$1:$C$62016,2,FALSE)))</f>
        <v>0</v>
      </c>
      <c r="E8" s="115">
        <f>IF(ISERROR(VLOOKUP(E6,KARY!$B$1:$C$62016,2,FALSE)),0,(VLOOKUP(E6,KARY!$B$1:$C$62016,2,FALSE)))</f>
        <v>0</v>
      </c>
      <c r="F8" s="115">
        <f>IF(ISERROR(VLOOKUP(F6,KARY!$B$1:$C$62016,2,FALSE)),0,(VLOOKUP(F6,KARY!$B$1:$C$62016,2,FALSE)))</f>
        <v>0</v>
      </c>
      <c r="G8" s="115">
        <f>IF(ISERROR(VLOOKUP(G6,KARY!$B$1:$C$62016,2,FALSE)),0,(VLOOKUP(G6,KARY!$B$1:$C$62016,2,FALSE)))</f>
        <v>0</v>
      </c>
      <c r="H8" s="115">
        <f>IF(ISERROR(VLOOKUP(H6,KARY!$B$1:$C$62016,2,FALSE)),0,(VLOOKUP(H6,KARY!$B$1:$C$62016,2,FALSE)))</f>
        <v>0</v>
      </c>
      <c r="I8" s="115">
        <f>IF(ISERROR(VLOOKUP(I6,KARY!$B$1:$C$62016,2,FALSE)),0,(VLOOKUP(I6,KARY!$B$1:$C$62016,2,FALSE)))</f>
        <v>0</v>
      </c>
      <c r="J8" s="115">
        <f>IF(ISERROR(VLOOKUP(J6,KARY!$B$1:$C$62016,2,FALSE)),0,(VLOOKUP(J6,KARY!$B$1:$C$62016,2,FALSE)))</f>
        <v>0</v>
      </c>
      <c r="K8" s="115">
        <f>IF(ISERROR(VLOOKUP(K6,KARY!$B$1:$C$62016,2,FALSE)),0,(VLOOKUP(K6,KARY!$B$1:$C$62016,2,FALSE)))</f>
        <v>0</v>
      </c>
      <c r="L8" s="115">
        <f>IF(ISERROR(VLOOKUP(L6,KARY!$B$1:$C$62016,2,FALSE)),0,(VLOOKUP(L6,KARY!$B$1:$C$62016,2,FALSE)))</f>
        <v>0</v>
      </c>
      <c r="M8" s="115">
        <f>IF(ISERROR(VLOOKUP(M6,KARY!$B$1:$C$62016,2,FALSE)),0,(VLOOKUP(M6,KARY!$B$1:$C$62016,2,FALSE)))</f>
        <v>0</v>
      </c>
      <c r="N8" s="115">
        <f>IF(ISERROR(VLOOKUP(N6,KARY!$B$1:$C$62016,2,FALSE)),0,(VLOOKUP(N6,KARY!$B$1:$C$62016,2,FALSE)))</f>
        <v>0</v>
      </c>
      <c r="O8" s="115">
        <f>IF(ISERROR(VLOOKUP(O6,KARY!$B$1:$C$62016,2,FALSE)),0,(VLOOKUP(O6,KARY!$B$1:$C$62016,2,FALSE)))</f>
        <v>0</v>
      </c>
      <c r="P8" s="115">
        <f>IF(ISERROR(VLOOKUP(P6,KARY!$B$1:$C$62016,2,FALSE)),0,(VLOOKUP(P6,KARY!$B$1:$C$62016,2,FALSE)))</f>
        <v>0</v>
      </c>
      <c r="Q8" s="115">
        <f>IF(ISERROR(VLOOKUP(Q6,KARY!$B$1:$C$62016,2,FALSE)),0,(VLOOKUP(Q6,KARY!$B$1:$C$62016,2,FALSE)))</f>
        <v>0</v>
      </c>
      <c r="R8" s="115">
        <f>IF(ISERROR(VLOOKUP(R6,KARY!$B$1:$C$62016,2,FALSE)),0,(VLOOKUP(R6,KARY!$B$1:$C$62016,2,FALSE)))</f>
        <v>0</v>
      </c>
      <c r="S8" s="115">
        <f>IF(ISERROR(VLOOKUP(S6,KARY!$B$1:$C$62016,2,FALSE)),0,(VLOOKUP(S6,KARY!$B$1:$C$62016,2,FALSE)))</f>
        <v>0</v>
      </c>
      <c r="T8" s="115">
        <f>IF(ISERROR(VLOOKUP(T6,KARY!$B$1:$C$62016,2,FALSE)),0,(VLOOKUP(T6,KARY!$B$1:$C$62016,2,FALSE)))</f>
        <v>0</v>
      </c>
      <c r="U8" s="115">
        <f>IF(ISERROR(VLOOKUP(U6,KARY!$B$1:$C$62016,2,FALSE)),0,(VLOOKUP(U6,KARY!$B$1:$C$62016,2,FALSE)))</f>
        <v>0</v>
      </c>
      <c r="V8" s="115">
        <f>IF(ISERROR(VLOOKUP(V6,KARY!$B$1:$C$62016,2,FALSE)),0,(VLOOKUP(V6,KARY!$B$1:$C$62016,2,FALSE)))</f>
        <v>0</v>
      </c>
      <c r="W8" s="115"/>
      <c r="X8" s="115"/>
      <c r="Y8" s="115"/>
      <c r="Z8" s="115"/>
      <c r="AA8" s="115"/>
      <c r="AB8" s="115"/>
      <c r="AC8" s="115"/>
      <c r="AD8" s="115"/>
      <c r="AE8" s="115"/>
      <c r="AF8" s="115"/>
      <c r="AG8" s="115"/>
      <c r="AH8" s="115"/>
      <c r="AI8" s="116"/>
      <c r="AJ8" s="197"/>
      <c r="AK8" s="191"/>
      <c r="AL8" s="195"/>
      <c r="AM8" s="108"/>
      <c r="AN8" s="108"/>
      <c r="AO8" s="108"/>
      <c r="AP8" s="108"/>
      <c r="AQ8" s="108"/>
      <c r="AR8" s="95"/>
      <c r="AS8" s="108"/>
      <c r="AT8" s="95"/>
      <c r="AU8" s="109"/>
      <c r="AV8" s="108"/>
      <c r="AW8" s="108"/>
      <c r="AX8" s="110"/>
      <c r="BA8" s="104"/>
      <c r="BB8" s="111"/>
      <c r="BC8" s="104"/>
      <c r="BE8" s="104"/>
      <c r="BF8" s="104"/>
      <c r="BG8" s="104"/>
    </row>
    <row r="9" spans="1:62" s="96" customFormat="1" ht="19.5" customHeight="1" x14ac:dyDescent="0.3">
      <c r="B9" s="117"/>
      <c r="C9" s="118"/>
      <c r="D9" s="118"/>
      <c r="E9" s="118"/>
      <c r="F9" s="118"/>
      <c r="G9" s="118"/>
      <c r="H9" s="118"/>
      <c r="I9" s="118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19"/>
      <c r="AG9" s="119"/>
      <c r="AH9" s="119"/>
      <c r="AI9" s="120"/>
      <c r="AJ9" s="121"/>
      <c r="AK9" s="122"/>
      <c r="AL9" s="120"/>
      <c r="AM9" s="104"/>
      <c r="AN9" s="104"/>
      <c r="AO9" s="104"/>
      <c r="AP9" s="97"/>
      <c r="AQ9" s="97"/>
      <c r="AR9" s="103"/>
      <c r="AS9" s="104"/>
      <c r="AT9" s="103"/>
      <c r="AU9" s="105"/>
      <c r="AV9" s="97"/>
      <c r="AW9" s="104"/>
      <c r="AX9" s="88"/>
      <c r="BA9" s="97"/>
      <c r="BB9" s="98"/>
      <c r="BC9" s="97"/>
      <c r="BE9" s="97"/>
      <c r="BF9" s="97"/>
      <c r="BG9" s="97"/>
    </row>
    <row r="10" spans="1:62" ht="19.5" customHeight="1" x14ac:dyDescent="0.3">
      <c r="B10" s="123">
        <f>ANALISA!C8</f>
        <v>46266</v>
      </c>
      <c r="C10" s="118">
        <f>SUMIFS(statement!$J:$J,statement!$K:$K,ANALISA!$AA8, statement!$A:$A,C$6)</f>
        <v>0</v>
      </c>
      <c r="D10" s="118">
        <f>SUMIFS(statement!$J:$J,statement!$K:$K,ANALISA!$AA8, statement!$A:$A,D$6)</f>
        <v>0</v>
      </c>
      <c r="E10" s="118">
        <f>SUMIFS(statement!$J:$J,statement!$K:$K,ANALISA!$AA8, statement!$A:$A,E$6)</f>
        <v>0</v>
      </c>
      <c r="F10" s="118">
        <f>SUMIFS(statement!$J:$J,statement!$K:$K,ANALISA!$AA8, statement!$A:$A,F$6)</f>
        <v>0</v>
      </c>
      <c r="G10" s="118">
        <f>SUMIFS(statement!$J:$J,statement!$K:$K,ANALISA!$AA8, statement!$A:$A,G$6)</f>
        <v>0</v>
      </c>
      <c r="H10" s="118">
        <f>SUMIFS(statement!$J:$J,statement!$K:$K,ANALISA!$AA8, statement!$A:$A,H$6)</f>
        <v>0</v>
      </c>
      <c r="I10" s="118">
        <f>SUMIFS(statement!$J:$J,statement!$K:$K,ANALISA!$AA8, statement!$A:$A,I$6)</f>
        <v>0</v>
      </c>
      <c r="J10" s="118">
        <f>SUMIFS(statement!$J:$J,statement!$K:$K,ANALISA!$AA8, statement!$A:$A,J$6)</f>
        <v>0</v>
      </c>
      <c r="K10" s="118">
        <f>SUMIFS(statement!$J:$J,statement!$K:$K,ANALISA!$AA8, statement!$A:$A,K$6)</f>
        <v>0</v>
      </c>
      <c r="L10" s="118">
        <f>SUMIFS(statement!$J:$J,statement!$K:$K,ANALISA!$AA8, statement!$A:$A,L$6)</f>
        <v>0</v>
      </c>
      <c r="M10" s="118">
        <f>SUMIFS(statement!$J:$J,statement!$K:$K,ANALISA!$AA8, statement!$A:$A,M$6)</f>
        <v>0</v>
      </c>
      <c r="N10" s="118">
        <f>SUMIFS(statement!$J:$J,statement!$K:$K,ANALISA!$AA8, statement!$A:$A,N$6)</f>
        <v>0</v>
      </c>
      <c r="O10" s="118">
        <f>SUMIFS(statement!$J:$J,statement!$K:$K,ANALISA!$AA8, statement!$A:$A,O$6)</f>
        <v>0</v>
      </c>
      <c r="P10" s="118">
        <f>SUMIFS(statement!$J:$J,statement!$K:$K,ANALISA!$AA8, statement!$A:$A,P$6)</f>
        <v>0</v>
      </c>
      <c r="Q10" s="118">
        <f>SUMIFS(statement!$J:$J,statement!$K:$K,ANALISA!$AA8, statement!$A:$A,Q$6)</f>
        <v>0</v>
      </c>
      <c r="R10" s="118">
        <f>SUMIFS(statement!$J:$J,statement!$K:$K,ANALISA!$AA8, statement!$A:$A,R$6)</f>
        <v>0</v>
      </c>
      <c r="S10" s="118">
        <f>SUMIFS(statement!$J:$J,statement!$K:$K,ANALISA!$AA8, statement!$A:$A,S$6)</f>
        <v>0</v>
      </c>
      <c r="T10" s="118">
        <f>SUMIFS(statement!$J:$J,statement!$K:$K,ANALISA!$AA8, statement!$A:$A,T$6)</f>
        <v>0</v>
      </c>
      <c r="U10" s="118">
        <f>SUMIFS(statement!$J:$J,statement!$K:$K,ANALISA!$AA8, statement!$A:$A,U$6)</f>
        <v>0</v>
      </c>
      <c r="V10" s="118">
        <f>SUMIFS(statement!$J:$J,statement!$K:$K,ANALISA!$AA8, statement!$A:$A,V$6)</f>
        <v>0</v>
      </c>
      <c r="W10" s="118">
        <f>SUMIFS(statement!$J:$J,statement!$K:$K,ANALISA!$AA8, statement!$A:$A,W$6)</f>
        <v>0</v>
      </c>
      <c r="X10" s="118">
        <f>SUMIFS(statement!$J:$J,statement!$K:$K,ANALISA!$AA8, statement!$A:$A,X$6)</f>
        <v>0</v>
      </c>
      <c r="Y10" s="118">
        <f>SUMIFS(statement!$J:$J,statement!$K:$K,ANALISA!$AA8, statement!$A:$A,Y$6)</f>
        <v>0</v>
      </c>
      <c r="Z10" s="118">
        <f>SUMIFS(statement!$J:$J,statement!$K:$K,ANALISA!$AA8, statement!$A:$A,Z$6)</f>
        <v>0</v>
      </c>
      <c r="AA10" s="118">
        <f>SUMIFS(statement!$J:$J,statement!$K:$K,ANALISA!$AA8, statement!$A:$A,AA$6)</f>
        <v>0</v>
      </c>
      <c r="AB10" s="118">
        <f>SUMIFS(statement!$J:$J,statement!$K:$K,ANALISA!$AA8, statement!$A:$A,AB$6)</f>
        <v>0</v>
      </c>
      <c r="AC10" s="118">
        <f>SUMIFS(statement!$J:$J,statement!$K:$K,ANALISA!$AA8, statement!$A:$A,AC$6)</f>
        <v>0</v>
      </c>
      <c r="AD10" s="118">
        <f>SUMIFS(statement!$J:$J,statement!$K:$K,ANALISA!$AA8, statement!$A:$A,AD$6)</f>
        <v>0</v>
      </c>
      <c r="AE10" s="118">
        <f>SUMIFS(statement!$J:$J,statement!$K:$K,ANALISA!$AA8, statement!$A:$A,AE$6)</f>
        <v>0</v>
      </c>
      <c r="AF10" s="118">
        <f>SUMIFS(statement!$J:$J,statement!$K:$K,ANALISA!$AA8, statement!$A:$A,AF$6)</f>
        <v>0</v>
      </c>
      <c r="AG10" s="118">
        <f>SUMIFS(statement!$J:$J,statement!$K:$K,ANALISA!$AA8, statement!$A:$A,AG$6)</f>
        <v>0</v>
      </c>
      <c r="AH10" s="118">
        <f>SUMIFS(statement!$J:$J,statement!$K:$K,ANALISA!$AA8, statement!$A:$A,AH$6)</f>
        <v>0</v>
      </c>
      <c r="AI10" s="118">
        <f>SUMIFS(statement!$J:$J,statement!$K:$K,ANALISA!$AA8, statement!$A:$A,AI$6)</f>
        <v>0</v>
      </c>
      <c r="AJ10" s="124">
        <f>ANALISA!AB8</f>
        <v>0</v>
      </c>
      <c r="AK10" s="125">
        <f t="shared" ref="AK10:AK40" si="0">SUM(C10:AI10)</f>
        <v>0</v>
      </c>
      <c r="AL10" s="126" t="str">
        <f>IF(SUMIF(statement!$K:$K,ANALISA!AA8,statement!$J:$J)=AK10,"MATCH","UNMATCH")</f>
        <v>MATCH</v>
      </c>
      <c r="AM10" s="104">
        <f>AK10-ANALISA!R8</f>
        <v>0</v>
      </c>
      <c r="AN10" s="104"/>
      <c r="AO10" s="104"/>
      <c r="AP10" s="97"/>
      <c r="AR10" s="127"/>
      <c r="AS10" s="104"/>
      <c r="AT10" s="127"/>
      <c r="AU10" s="128"/>
      <c r="AV10" s="97"/>
      <c r="AW10" s="97"/>
      <c r="AX10" s="129"/>
      <c r="BA10" s="97"/>
      <c r="BB10" s="98"/>
      <c r="BC10" s="97"/>
      <c r="BE10" s="97"/>
      <c r="BF10" s="97"/>
      <c r="BG10" s="97"/>
      <c r="BI10" s="130"/>
      <c r="BJ10" s="130"/>
    </row>
    <row r="11" spans="1:62" ht="19.5" customHeight="1" x14ac:dyDescent="0.3">
      <c r="B11" s="123">
        <f>ANALISA!C9</f>
        <v>46267</v>
      </c>
      <c r="C11" s="118">
        <f>SUMIFS(statement!$J:$J,statement!$K:$K,ANALISA!$AA9, statement!$A:$A,C$6)</f>
        <v>0</v>
      </c>
      <c r="D11" s="118">
        <f>SUMIFS(statement!$J:$J,statement!$K:$K,ANALISA!$AA9, statement!$A:$A,D$6)</f>
        <v>0</v>
      </c>
      <c r="E11" s="118">
        <f>SUMIFS(statement!$J:$J,statement!$K:$K,ANALISA!$AA9, statement!$A:$A,E$6)</f>
        <v>0</v>
      </c>
      <c r="F11" s="118">
        <f>SUMIFS(statement!$J:$J,statement!$K:$K,ANALISA!$AA9, statement!$A:$A,F$6)</f>
        <v>0</v>
      </c>
      <c r="G11" s="118">
        <f>SUMIFS(statement!$J:$J,statement!$K:$K,ANALISA!$AA9, statement!$A:$A,G$6)</f>
        <v>0</v>
      </c>
      <c r="H11" s="118">
        <f>SUMIFS(statement!$J:$J,statement!$K:$K,ANALISA!$AA9, statement!$A:$A,H$6)</f>
        <v>0</v>
      </c>
      <c r="I11" s="118">
        <f>SUMIFS(statement!$J:$J,statement!$K:$K,ANALISA!$AA9, statement!$A:$A,I$6)</f>
        <v>0</v>
      </c>
      <c r="J11" s="118">
        <f>SUMIFS(statement!$J:$J,statement!$K:$K,ANALISA!$AA9, statement!$A:$A,J$6)</f>
        <v>0</v>
      </c>
      <c r="K11" s="118">
        <f>SUMIFS(statement!$J:$J,statement!$K:$K,ANALISA!$AA9, statement!$A:$A,K$6)</f>
        <v>0</v>
      </c>
      <c r="L11" s="118">
        <f>SUMIFS(statement!$J:$J,statement!$K:$K,ANALISA!$AA9, statement!$A:$A,L$6)</f>
        <v>0</v>
      </c>
      <c r="M11" s="118">
        <f>SUMIFS(statement!$J:$J,statement!$K:$K,ANALISA!$AA9, statement!$A:$A,M$6)</f>
        <v>0</v>
      </c>
      <c r="N11" s="118">
        <f>SUMIFS(statement!$J:$J,statement!$K:$K,ANALISA!$AA9, statement!$A:$A,N$6)</f>
        <v>0</v>
      </c>
      <c r="O11" s="118">
        <f>SUMIFS(statement!$J:$J,statement!$K:$K,ANALISA!$AA9, statement!$A:$A,O$6)</f>
        <v>0</v>
      </c>
      <c r="P11" s="118">
        <f>SUMIFS(statement!$J:$J,statement!$K:$K,ANALISA!$AA9, statement!$A:$A,P$6)</f>
        <v>0</v>
      </c>
      <c r="Q11" s="118">
        <f>SUMIFS(statement!$J:$J,statement!$K:$K,ANALISA!$AA9, statement!$A:$A,Q$6)</f>
        <v>0</v>
      </c>
      <c r="R11" s="118">
        <f>SUMIFS(statement!$J:$J,statement!$K:$K,ANALISA!$AA9, statement!$A:$A,R$6)</f>
        <v>0</v>
      </c>
      <c r="S11" s="118">
        <f>SUMIFS(statement!$J:$J,statement!$K:$K,ANALISA!$AA9, statement!$A:$A,S$6)</f>
        <v>0</v>
      </c>
      <c r="T11" s="118">
        <f>SUMIFS(statement!$J:$J,statement!$K:$K,ANALISA!$AA9, statement!$A:$A,T$6)</f>
        <v>0</v>
      </c>
      <c r="U11" s="118">
        <f>SUMIFS(statement!$J:$J,statement!$K:$K,ANALISA!$AA9, statement!$A:$A,U$6)</f>
        <v>0</v>
      </c>
      <c r="V11" s="118">
        <f>SUMIFS(statement!$J:$J,statement!$K:$K,ANALISA!$AA9, statement!$A:$A,V$6)</f>
        <v>0</v>
      </c>
      <c r="W11" s="118">
        <f>SUMIFS(statement!$J:$J,statement!$K:$K,ANALISA!$AA9, statement!$A:$A,W$6)</f>
        <v>0</v>
      </c>
      <c r="X11" s="118">
        <f>SUMIFS(statement!$J:$J,statement!$K:$K,ANALISA!$AA9, statement!$A:$A,X$6)</f>
        <v>0</v>
      </c>
      <c r="Y11" s="118">
        <f>SUMIFS(statement!$J:$J,statement!$K:$K,ANALISA!$AA9, statement!$A:$A,Y$6)</f>
        <v>0</v>
      </c>
      <c r="Z11" s="118">
        <f>SUMIFS(statement!$J:$J,statement!$K:$K,ANALISA!$AA9, statement!$A:$A,Z$6)</f>
        <v>0</v>
      </c>
      <c r="AA11" s="118">
        <f>SUMIFS(statement!$J:$J,statement!$K:$K,ANALISA!$AA9, statement!$A:$A,AA$6)</f>
        <v>0</v>
      </c>
      <c r="AB11" s="118">
        <f>SUMIFS(statement!$J:$J,statement!$K:$K,ANALISA!$AA9, statement!$A:$A,AB$6)</f>
        <v>0</v>
      </c>
      <c r="AC11" s="118">
        <f>SUMIFS(statement!$J:$J,statement!$K:$K,ANALISA!$AA9, statement!$A:$A,AC$6)</f>
        <v>0</v>
      </c>
      <c r="AD11" s="118">
        <f>SUMIFS(statement!$J:$J,statement!$K:$K,ANALISA!$AA9, statement!$A:$A,AD$6)</f>
        <v>0</v>
      </c>
      <c r="AE11" s="118">
        <f>SUMIFS(statement!$J:$J,statement!$K:$K,ANALISA!$AA9, statement!$A:$A,AE$6)</f>
        <v>0</v>
      </c>
      <c r="AF11" s="118">
        <f>SUMIFS(statement!$J:$J,statement!$K:$K,ANALISA!$AA9, statement!$A:$A,AF$6)</f>
        <v>0</v>
      </c>
      <c r="AG11" s="118">
        <f>SUMIFS(statement!$J:$J,statement!$K:$K,ANALISA!$AA9, statement!$A:$A,AG$6)</f>
        <v>0</v>
      </c>
      <c r="AH11" s="118">
        <f>SUMIFS(statement!$J:$J,statement!$K:$K,ANALISA!$AA9, statement!$A:$A,AH$6)</f>
        <v>0</v>
      </c>
      <c r="AI11" s="118">
        <f>SUMIFS(statement!$J:$J,statement!$K:$K,ANALISA!$AA9, statement!$A:$A,AI$6)</f>
        <v>0</v>
      </c>
      <c r="AJ11" s="124">
        <f>ANALISA!AB9</f>
        <v>0</v>
      </c>
      <c r="AK11" s="125">
        <f t="shared" si="0"/>
        <v>0</v>
      </c>
      <c r="AL11" s="126" t="str">
        <f>IF(SUMIF(statement!$K:$K,ANALISA!AA9,statement!$J:$J)=AK11,"MATCH","UNMATCH")</f>
        <v>MATCH</v>
      </c>
      <c r="AM11" s="104">
        <f>AK11-ANALISA!R9</f>
        <v>0</v>
      </c>
      <c r="AN11" s="104"/>
      <c r="AO11" s="104"/>
      <c r="AP11" s="97"/>
      <c r="AR11" s="127"/>
      <c r="AS11" s="104"/>
      <c r="AT11" s="127"/>
      <c r="AU11" s="128"/>
      <c r="AV11" s="97"/>
      <c r="AW11" s="97"/>
      <c r="AX11" s="129"/>
      <c r="AZ11" s="130"/>
      <c r="BA11" s="131"/>
      <c r="BB11" s="98"/>
      <c r="BC11" s="97"/>
      <c r="BE11" s="97"/>
      <c r="BF11" s="97"/>
      <c r="BG11" s="97"/>
      <c r="BI11" s="130"/>
      <c r="BJ11" s="130"/>
    </row>
    <row r="12" spans="1:62" ht="19.5" customHeight="1" x14ac:dyDescent="0.3">
      <c r="B12" s="123">
        <f>ANALISA!C10</f>
        <v>46268</v>
      </c>
      <c r="C12" s="118">
        <f>SUMIFS(statement!$J:$J,statement!$K:$K,ANALISA!$AA10, statement!$A:$A,C$6)</f>
        <v>0</v>
      </c>
      <c r="D12" s="118">
        <f>SUMIFS(statement!$J:$J,statement!$K:$K,ANALISA!$AA10, statement!$A:$A,D$6)</f>
        <v>0</v>
      </c>
      <c r="E12" s="118">
        <f>SUMIFS(statement!$J:$J,statement!$K:$K,ANALISA!$AA10, statement!$A:$A,E$6)</f>
        <v>0</v>
      </c>
      <c r="F12" s="118">
        <f>SUMIFS(statement!$J:$J,statement!$K:$K,ANALISA!$AA10, statement!$A:$A,F$6)</f>
        <v>0</v>
      </c>
      <c r="G12" s="118">
        <f>SUMIFS(statement!$J:$J,statement!$K:$K,ANALISA!$AA10, statement!$A:$A,G$6)</f>
        <v>0</v>
      </c>
      <c r="H12" s="118">
        <f>SUMIFS(statement!$J:$J,statement!$K:$K,ANALISA!$AA10, statement!$A:$A,H$6)</f>
        <v>0</v>
      </c>
      <c r="I12" s="118">
        <f>SUMIFS(statement!$J:$J,statement!$K:$K,ANALISA!$AA10, statement!$A:$A,I$6)</f>
        <v>0</v>
      </c>
      <c r="J12" s="118">
        <f>SUMIFS(statement!$J:$J,statement!$K:$K,ANALISA!$AA10, statement!$A:$A,J$6)</f>
        <v>0</v>
      </c>
      <c r="K12" s="118">
        <f>SUMIFS(statement!$J:$J,statement!$K:$K,ANALISA!$AA10, statement!$A:$A,K$6)</f>
        <v>0</v>
      </c>
      <c r="L12" s="118">
        <f>SUMIFS(statement!$J:$J,statement!$K:$K,ANALISA!$AA10, statement!$A:$A,L$6)</f>
        <v>0</v>
      </c>
      <c r="M12" s="118">
        <f>SUMIFS(statement!$J:$J,statement!$K:$K,ANALISA!$AA10, statement!$A:$A,M$6)</f>
        <v>0</v>
      </c>
      <c r="N12" s="118">
        <f>SUMIFS(statement!$J:$J,statement!$K:$K,ANALISA!$AA10, statement!$A:$A,N$6)</f>
        <v>0</v>
      </c>
      <c r="O12" s="118">
        <f>SUMIFS(statement!$J:$J,statement!$K:$K,ANALISA!$AA10, statement!$A:$A,O$6)</f>
        <v>0</v>
      </c>
      <c r="P12" s="118">
        <f>SUMIFS(statement!$J:$J,statement!$K:$K,ANALISA!$AA10, statement!$A:$A,P$6)</f>
        <v>0</v>
      </c>
      <c r="Q12" s="118">
        <f>SUMIFS(statement!$J:$J,statement!$K:$K,ANALISA!$AA10, statement!$A:$A,Q$6)</f>
        <v>0</v>
      </c>
      <c r="R12" s="118">
        <f>SUMIFS(statement!$J:$J,statement!$K:$K,ANALISA!$AA10, statement!$A:$A,R$6)</f>
        <v>0</v>
      </c>
      <c r="S12" s="118">
        <f>SUMIFS(statement!$J:$J,statement!$K:$K,ANALISA!$AA10, statement!$A:$A,S$6)</f>
        <v>0</v>
      </c>
      <c r="T12" s="118">
        <f>SUMIFS(statement!$J:$J,statement!$K:$K,ANALISA!$AA10, statement!$A:$A,T$6)</f>
        <v>0</v>
      </c>
      <c r="U12" s="118">
        <f>SUMIFS(statement!$J:$J,statement!$K:$K,ANALISA!$AA10, statement!$A:$A,U$6)</f>
        <v>0</v>
      </c>
      <c r="V12" s="118">
        <f>SUMIFS(statement!$J:$J,statement!$K:$K,ANALISA!$AA10, statement!$A:$A,V$6)</f>
        <v>0</v>
      </c>
      <c r="W12" s="118">
        <f>SUMIFS(statement!$J:$J,statement!$K:$K,ANALISA!$AA10, statement!$A:$A,W$6)</f>
        <v>0</v>
      </c>
      <c r="X12" s="118">
        <f>SUMIFS(statement!$J:$J,statement!$K:$K,ANALISA!$AA10, statement!$A:$A,X$6)</f>
        <v>0</v>
      </c>
      <c r="Y12" s="118">
        <f>SUMIFS(statement!$J:$J,statement!$K:$K,ANALISA!$AA10, statement!$A:$A,Y$6)</f>
        <v>0</v>
      </c>
      <c r="Z12" s="118">
        <f>SUMIFS(statement!$J:$J,statement!$K:$K,ANALISA!$AA10, statement!$A:$A,Z$6)</f>
        <v>0</v>
      </c>
      <c r="AA12" s="118">
        <f>SUMIFS(statement!$J:$J,statement!$K:$K,ANALISA!$AA10, statement!$A:$A,AA$6)</f>
        <v>0</v>
      </c>
      <c r="AB12" s="118">
        <f>SUMIFS(statement!$J:$J,statement!$K:$K,ANALISA!$AA10, statement!$A:$A,AB$6)</f>
        <v>0</v>
      </c>
      <c r="AC12" s="118">
        <f>SUMIFS(statement!$J:$J,statement!$K:$K,ANALISA!$AA10, statement!$A:$A,AC$6)</f>
        <v>0</v>
      </c>
      <c r="AD12" s="118">
        <f>SUMIFS(statement!$J:$J,statement!$K:$K,ANALISA!$AA10, statement!$A:$A,AD$6)</f>
        <v>0</v>
      </c>
      <c r="AE12" s="118">
        <f>SUMIFS(statement!$J:$J,statement!$K:$K,ANALISA!$AA10, statement!$A:$A,AE$6)</f>
        <v>0</v>
      </c>
      <c r="AF12" s="118">
        <f>SUMIFS(statement!$J:$J,statement!$K:$K,ANALISA!$AA10, statement!$A:$A,AF$6)</f>
        <v>0</v>
      </c>
      <c r="AG12" s="118">
        <f>SUMIFS(statement!$J:$J,statement!$K:$K,ANALISA!$AA10, statement!$A:$A,AG$6)</f>
        <v>0</v>
      </c>
      <c r="AH12" s="118">
        <f>SUMIFS(statement!$J:$J,statement!$K:$K,ANALISA!$AA10, statement!$A:$A,AH$6)</f>
        <v>0</v>
      </c>
      <c r="AI12" s="118">
        <f>SUMIFS(statement!$J:$J,statement!$K:$K,ANALISA!$AA10, statement!$A:$A,AI$6)</f>
        <v>0</v>
      </c>
      <c r="AJ12" s="124">
        <f>ANALISA!AB10</f>
        <v>0</v>
      </c>
      <c r="AK12" s="125">
        <f t="shared" si="0"/>
        <v>0</v>
      </c>
      <c r="AL12" s="126" t="str">
        <f>IF(SUMIF(statement!$K:$K,ANALISA!AA10,statement!$J:$J)=AK12,"MATCH","UNMATCH")</f>
        <v>MATCH</v>
      </c>
      <c r="AM12" s="104">
        <f>AK12-ANALISA!R10</f>
        <v>0</v>
      </c>
      <c r="AN12" s="104"/>
      <c r="AO12" s="104"/>
      <c r="AP12" s="97"/>
      <c r="AR12" s="127"/>
      <c r="AS12" s="104"/>
      <c r="AT12" s="127"/>
      <c r="AU12" s="128"/>
      <c r="AV12" s="97"/>
      <c r="AW12" s="97"/>
      <c r="AX12" s="129"/>
      <c r="AY12" s="130"/>
      <c r="BA12" s="97"/>
      <c r="BB12" s="98"/>
      <c r="BC12" s="97"/>
      <c r="BE12" s="97"/>
      <c r="BF12" s="97"/>
      <c r="BG12" s="97"/>
      <c r="BI12" s="130"/>
      <c r="BJ12" s="130"/>
    </row>
    <row r="13" spans="1:62" ht="19.5" customHeight="1" x14ac:dyDescent="0.3">
      <c r="B13" s="123">
        <f>ANALISA!C11</f>
        <v>46269</v>
      </c>
      <c r="C13" s="118">
        <f>SUMIFS(statement!$J:$J,statement!$K:$K,ANALISA!$AA11, statement!$A:$A,C$6)</f>
        <v>0</v>
      </c>
      <c r="D13" s="118">
        <f>SUMIFS(statement!$J:$J,statement!$K:$K,ANALISA!$AA11, statement!$A:$A,D$6)</f>
        <v>0</v>
      </c>
      <c r="E13" s="118">
        <f>SUMIFS(statement!$J:$J,statement!$K:$K,ANALISA!$AA11, statement!$A:$A,E$6)</f>
        <v>0</v>
      </c>
      <c r="F13" s="118">
        <f>SUMIFS(statement!$J:$J,statement!$K:$K,ANALISA!$AA11, statement!$A:$A,F$6)</f>
        <v>0</v>
      </c>
      <c r="G13" s="118">
        <f>SUMIFS(statement!$J:$J,statement!$K:$K,ANALISA!$AA11, statement!$A:$A,G$6)</f>
        <v>0</v>
      </c>
      <c r="H13" s="118">
        <f>SUMIFS(statement!$J:$J,statement!$K:$K,ANALISA!$AA11, statement!$A:$A,H$6)</f>
        <v>0</v>
      </c>
      <c r="I13" s="118">
        <f>SUMIFS(statement!$J:$J,statement!$K:$K,ANALISA!$AA11, statement!$A:$A,I$6)</f>
        <v>0</v>
      </c>
      <c r="J13" s="118">
        <f>SUMIFS(statement!$J:$J,statement!$K:$K,ANALISA!$AA11, statement!$A:$A,J$6)</f>
        <v>0</v>
      </c>
      <c r="K13" s="118">
        <f>SUMIFS(statement!$J:$J,statement!$K:$K,ANALISA!$AA11, statement!$A:$A,K$6)</f>
        <v>0</v>
      </c>
      <c r="L13" s="118">
        <f>SUMIFS(statement!$J:$J,statement!$K:$K,ANALISA!$AA11, statement!$A:$A,L$6)</f>
        <v>0</v>
      </c>
      <c r="M13" s="118">
        <f>SUMIFS(statement!$J:$J,statement!$K:$K,ANALISA!$AA11, statement!$A:$A,M$6)</f>
        <v>0</v>
      </c>
      <c r="N13" s="118">
        <f>SUMIFS(statement!$J:$J,statement!$K:$K,ANALISA!$AA11, statement!$A:$A,N$6)</f>
        <v>0</v>
      </c>
      <c r="O13" s="118">
        <f>SUMIFS(statement!$J:$J,statement!$K:$K,ANALISA!$AA11, statement!$A:$A,O$6)</f>
        <v>0</v>
      </c>
      <c r="P13" s="118">
        <f>SUMIFS(statement!$J:$J,statement!$K:$K,ANALISA!$AA11, statement!$A:$A,P$6)</f>
        <v>0</v>
      </c>
      <c r="Q13" s="118">
        <f>SUMIFS(statement!$J:$J,statement!$K:$K,ANALISA!$AA11, statement!$A:$A,Q$6)</f>
        <v>0</v>
      </c>
      <c r="R13" s="118">
        <f>SUMIFS(statement!$J:$J,statement!$K:$K,ANALISA!$AA11, statement!$A:$A,R$6)</f>
        <v>0</v>
      </c>
      <c r="S13" s="118">
        <f>SUMIFS(statement!$J:$J,statement!$K:$K,ANALISA!$AA11, statement!$A:$A,S$6)</f>
        <v>0</v>
      </c>
      <c r="T13" s="118">
        <f>SUMIFS(statement!$J:$J,statement!$K:$K,ANALISA!$AA11, statement!$A:$A,T$6)</f>
        <v>0</v>
      </c>
      <c r="U13" s="118">
        <f>SUMIFS(statement!$J:$J,statement!$K:$K,ANALISA!$AA11, statement!$A:$A,U$6)</f>
        <v>0</v>
      </c>
      <c r="V13" s="118">
        <f>SUMIFS(statement!$J:$J,statement!$K:$K,ANALISA!$AA11, statement!$A:$A,V$6)</f>
        <v>0</v>
      </c>
      <c r="W13" s="118">
        <f>SUMIFS(statement!$J:$J,statement!$K:$K,ANALISA!$AA11, statement!$A:$A,W$6)</f>
        <v>0</v>
      </c>
      <c r="X13" s="118">
        <f>SUMIFS(statement!$J:$J,statement!$K:$K,ANALISA!$AA11, statement!$A:$A,X$6)</f>
        <v>0</v>
      </c>
      <c r="Y13" s="118">
        <f>SUMIFS(statement!$J:$J,statement!$K:$K,ANALISA!$AA11, statement!$A:$A,Y$6)</f>
        <v>0</v>
      </c>
      <c r="Z13" s="118">
        <f>SUMIFS(statement!$J:$J,statement!$K:$K,ANALISA!$AA11, statement!$A:$A,Z$6)</f>
        <v>0</v>
      </c>
      <c r="AA13" s="118">
        <f>SUMIFS(statement!$J:$J,statement!$K:$K,ANALISA!$AA11, statement!$A:$A,AA$6)</f>
        <v>0</v>
      </c>
      <c r="AB13" s="118">
        <f>SUMIFS(statement!$J:$J,statement!$K:$K,ANALISA!$AA11, statement!$A:$A,AB$6)</f>
        <v>0</v>
      </c>
      <c r="AC13" s="118">
        <f>SUMIFS(statement!$J:$J,statement!$K:$K,ANALISA!$AA11, statement!$A:$A,AC$6)</f>
        <v>0</v>
      </c>
      <c r="AD13" s="118">
        <f>SUMIFS(statement!$J:$J,statement!$K:$K,ANALISA!$AA11, statement!$A:$A,AD$6)</f>
        <v>0</v>
      </c>
      <c r="AE13" s="118">
        <f>SUMIFS(statement!$J:$J,statement!$K:$K,ANALISA!$AA11, statement!$A:$A,AE$6)</f>
        <v>0</v>
      </c>
      <c r="AF13" s="118">
        <f>SUMIFS(statement!$J:$J,statement!$K:$K,ANALISA!$AA11, statement!$A:$A,AF$6)</f>
        <v>0</v>
      </c>
      <c r="AG13" s="118">
        <f>SUMIFS(statement!$J:$J,statement!$K:$K,ANALISA!$AA11, statement!$A:$A,AG$6)</f>
        <v>0</v>
      </c>
      <c r="AH13" s="118">
        <f>SUMIFS(statement!$J:$J,statement!$K:$K,ANALISA!$AA11, statement!$A:$A,AH$6)</f>
        <v>0</v>
      </c>
      <c r="AI13" s="118">
        <f>SUMIFS(statement!$J:$J,statement!$K:$K,ANALISA!$AA11, statement!$A:$A,AI$6)</f>
        <v>0</v>
      </c>
      <c r="AJ13" s="124">
        <f>ANALISA!AB11</f>
        <v>0</v>
      </c>
      <c r="AK13" s="125">
        <f t="shared" si="0"/>
        <v>0</v>
      </c>
      <c r="AL13" s="126" t="str">
        <f>IF(SUMIF(statement!$K:$K,ANALISA!AA11,statement!$J:$J)=AK13,"MATCH","UNMATCH")</f>
        <v>MATCH</v>
      </c>
      <c r="AM13" s="104">
        <f>AK13-ANALISA!R11</f>
        <v>0</v>
      </c>
      <c r="AN13" s="104"/>
      <c r="AO13" s="104"/>
      <c r="AP13" s="97"/>
      <c r="AR13" s="127"/>
      <c r="AS13" s="104"/>
      <c r="AT13" s="127"/>
      <c r="AU13" s="128"/>
      <c r="AV13" s="97"/>
      <c r="AW13" s="97"/>
      <c r="AX13" s="129"/>
      <c r="AY13" s="130"/>
      <c r="BA13" s="97"/>
      <c r="BB13" s="98"/>
      <c r="BC13" s="97"/>
      <c r="BE13" s="97"/>
      <c r="BF13" s="97"/>
      <c r="BG13" s="97"/>
      <c r="BI13" s="130"/>
      <c r="BJ13" s="130"/>
    </row>
    <row r="14" spans="1:62" ht="19.5" customHeight="1" x14ac:dyDescent="0.3">
      <c r="B14" s="123">
        <f>ANALISA!C12</f>
        <v>46270</v>
      </c>
      <c r="C14" s="118">
        <f>SUMIFS(statement!$J:$J,statement!$K:$K,ANALISA!$AA12, statement!$A:$A,C$6)</f>
        <v>0</v>
      </c>
      <c r="D14" s="118">
        <f>SUMIFS(statement!$J:$J,statement!$K:$K,ANALISA!$AA12, statement!$A:$A,D$6)</f>
        <v>0</v>
      </c>
      <c r="E14" s="118">
        <f>SUMIFS(statement!$J:$J,statement!$K:$K,ANALISA!$AA12, statement!$A:$A,E$6)</f>
        <v>0</v>
      </c>
      <c r="F14" s="118">
        <f>SUMIFS(statement!$J:$J,statement!$K:$K,ANALISA!$AA12, statement!$A:$A,F$6)</f>
        <v>0</v>
      </c>
      <c r="G14" s="118">
        <f>SUMIFS(statement!$J:$J,statement!$K:$K,ANALISA!$AA12, statement!$A:$A,G$6)</f>
        <v>0</v>
      </c>
      <c r="H14" s="118">
        <f>SUMIFS(statement!$J:$J,statement!$K:$K,ANALISA!$AA12, statement!$A:$A,H$6)</f>
        <v>0</v>
      </c>
      <c r="I14" s="118">
        <f>SUMIFS(statement!$J:$J,statement!$K:$K,ANALISA!$AA12, statement!$A:$A,I$6)</f>
        <v>0</v>
      </c>
      <c r="J14" s="118">
        <f>SUMIFS(statement!$J:$J,statement!$K:$K,ANALISA!$AA12, statement!$A:$A,J$6)</f>
        <v>0</v>
      </c>
      <c r="K14" s="118">
        <f>SUMIFS(statement!$J:$J,statement!$K:$K,ANALISA!$AA12, statement!$A:$A,K$6)</f>
        <v>0</v>
      </c>
      <c r="L14" s="118">
        <f>SUMIFS(statement!$J:$J,statement!$K:$K,ANALISA!$AA12, statement!$A:$A,L$6)</f>
        <v>0</v>
      </c>
      <c r="M14" s="118">
        <f>SUMIFS(statement!$J:$J,statement!$K:$K,ANALISA!$AA12, statement!$A:$A,M$6)</f>
        <v>0</v>
      </c>
      <c r="N14" s="118">
        <f>SUMIFS(statement!$J:$J,statement!$K:$K,ANALISA!$AA12, statement!$A:$A,N$6)</f>
        <v>0</v>
      </c>
      <c r="O14" s="118">
        <f>SUMIFS(statement!$J:$J,statement!$K:$K,ANALISA!$AA12, statement!$A:$A,O$6)</f>
        <v>0</v>
      </c>
      <c r="P14" s="118">
        <f>SUMIFS(statement!$J:$J,statement!$K:$K,ANALISA!$AA12, statement!$A:$A,P$6)</f>
        <v>0</v>
      </c>
      <c r="Q14" s="118">
        <f>SUMIFS(statement!$J:$J,statement!$K:$K,ANALISA!$AA12, statement!$A:$A,Q$6)</f>
        <v>0</v>
      </c>
      <c r="R14" s="118">
        <f>SUMIFS(statement!$J:$J,statement!$K:$K,ANALISA!$AA12, statement!$A:$A,R$6)</f>
        <v>0</v>
      </c>
      <c r="S14" s="118">
        <f>SUMIFS(statement!$J:$J,statement!$K:$K,ANALISA!$AA12, statement!$A:$A,S$6)</f>
        <v>0</v>
      </c>
      <c r="T14" s="118">
        <f>SUMIFS(statement!$J:$J,statement!$K:$K,ANALISA!$AA12, statement!$A:$A,T$6)</f>
        <v>0</v>
      </c>
      <c r="U14" s="118">
        <f>SUMIFS(statement!$J:$J,statement!$K:$K,ANALISA!$AA12, statement!$A:$A,U$6)</f>
        <v>0</v>
      </c>
      <c r="V14" s="118">
        <f>SUMIFS(statement!$J:$J,statement!$K:$K,ANALISA!$AA12, statement!$A:$A,V$6)</f>
        <v>0</v>
      </c>
      <c r="W14" s="118">
        <f>SUMIFS(statement!$J:$J,statement!$K:$K,ANALISA!$AA12, statement!$A:$A,W$6)</f>
        <v>0</v>
      </c>
      <c r="X14" s="118">
        <f>SUMIFS(statement!$J:$J,statement!$K:$K,ANALISA!$AA12, statement!$A:$A,X$6)</f>
        <v>0</v>
      </c>
      <c r="Y14" s="118">
        <f>SUMIFS(statement!$J:$J,statement!$K:$K,ANALISA!$AA12, statement!$A:$A,Y$6)</f>
        <v>0</v>
      </c>
      <c r="Z14" s="118">
        <f>SUMIFS(statement!$J:$J,statement!$K:$K,ANALISA!$AA12, statement!$A:$A,Z$6)</f>
        <v>0</v>
      </c>
      <c r="AA14" s="118">
        <f>SUMIFS(statement!$J:$J,statement!$K:$K,ANALISA!$AA12, statement!$A:$A,AA$6)</f>
        <v>0</v>
      </c>
      <c r="AB14" s="118">
        <f>SUMIFS(statement!$J:$J,statement!$K:$K,ANALISA!$AA12, statement!$A:$A,AB$6)</f>
        <v>0</v>
      </c>
      <c r="AC14" s="118">
        <f>SUMIFS(statement!$J:$J,statement!$K:$K,ANALISA!$AA12, statement!$A:$A,AC$6)</f>
        <v>0</v>
      </c>
      <c r="AD14" s="118">
        <f>SUMIFS(statement!$J:$J,statement!$K:$K,ANALISA!$AA12, statement!$A:$A,AD$6)</f>
        <v>0</v>
      </c>
      <c r="AE14" s="118">
        <f>SUMIFS(statement!$J:$J,statement!$K:$K,ANALISA!$AA12, statement!$A:$A,AE$6)</f>
        <v>0</v>
      </c>
      <c r="AF14" s="118">
        <f>SUMIFS(statement!$J:$J,statement!$K:$K,ANALISA!$AA12, statement!$A:$A,AF$6)</f>
        <v>0</v>
      </c>
      <c r="AG14" s="118">
        <f>SUMIFS(statement!$J:$J,statement!$K:$K,ANALISA!$AA12, statement!$A:$A,AG$6)</f>
        <v>0</v>
      </c>
      <c r="AH14" s="118">
        <f>SUMIFS(statement!$J:$J,statement!$K:$K,ANALISA!$AA12, statement!$A:$A,AH$6)</f>
        <v>0</v>
      </c>
      <c r="AI14" s="118">
        <f>SUMIFS(statement!$J:$J,statement!$K:$K,ANALISA!$AA12, statement!$A:$A,AI$6)</f>
        <v>0</v>
      </c>
      <c r="AJ14" s="124">
        <f>ANALISA!AB12</f>
        <v>0</v>
      </c>
      <c r="AK14" s="125">
        <f t="shared" si="0"/>
        <v>0</v>
      </c>
      <c r="AL14" s="126" t="str">
        <f>IF(SUMIF(statement!$K:$K,ANALISA!AA12,statement!$J:$J)=AK14,"MATCH","UNMATCH")</f>
        <v>MATCH</v>
      </c>
      <c r="AM14" s="104">
        <f>AK14-ANALISA!R12</f>
        <v>0</v>
      </c>
      <c r="AN14" s="104"/>
      <c r="AO14" s="104"/>
      <c r="AP14" s="97"/>
      <c r="AR14" s="127"/>
      <c r="AS14" s="104"/>
      <c r="AT14" s="127"/>
      <c r="AU14" s="128"/>
      <c r="AV14" s="97"/>
      <c r="AW14" s="97"/>
      <c r="AX14" s="129"/>
      <c r="AY14" s="130"/>
      <c r="AZ14" s="97"/>
      <c r="BA14" s="97"/>
      <c r="BB14" s="98"/>
      <c r="BC14" s="97"/>
      <c r="BE14" s="97"/>
      <c r="BF14" s="97"/>
      <c r="BG14" s="97"/>
      <c r="BI14" s="130"/>
      <c r="BJ14" s="130"/>
    </row>
    <row r="15" spans="1:62" ht="19.5" customHeight="1" x14ac:dyDescent="0.3">
      <c r="B15" s="123">
        <f>ANALISA!C13</f>
        <v>46271</v>
      </c>
      <c r="C15" s="118">
        <f>SUMIFS(statement!$J:$J,statement!$K:$K,ANALISA!$AA13, statement!$A:$A,C$6)</f>
        <v>0</v>
      </c>
      <c r="D15" s="118">
        <f>SUMIFS(statement!$J:$J,statement!$K:$K,ANALISA!$AA13, statement!$A:$A,D$6)</f>
        <v>0</v>
      </c>
      <c r="E15" s="118">
        <f>SUMIFS(statement!$J:$J,statement!$K:$K,ANALISA!$AA13, statement!$A:$A,E$6)</f>
        <v>0</v>
      </c>
      <c r="F15" s="118">
        <f>SUMIFS(statement!$J:$J,statement!$K:$K,ANALISA!$AA13, statement!$A:$A,F$6)</f>
        <v>0</v>
      </c>
      <c r="G15" s="118">
        <f>SUMIFS(statement!$J:$J,statement!$K:$K,ANALISA!$AA13, statement!$A:$A,G$6)</f>
        <v>0</v>
      </c>
      <c r="H15" s="118">
        <f>SUMIFS(statement!$J:$J,statement!$K:$K,ANALISA!$AA13, statement!$A:$A,H$6)</f>
        <v>0</v>
      </c>
      <c r="I15" s="118">
        <f>SUMIFS(statement!$J:$J,statement!$K:$K,ANALISA!$AA13, statement!$A:$A,I$6)</f>
        <v>0</v>
      </c>
      <c r="J15" s="118">
        <f>SUMIFS(statement!$J:$J,statement!$K:$K,ANALISA!$AA13, statement!$A:$A,J$6)</f>
        <v>0</v>
      </c>
      <c r="K15" s="118">
        <f>SUMIFS(statement!$J:$J,statement!$K:$K,ANALISA!$AA13, statement!$A:$A,K$6)</f>
        <v>0</v>
      </c>
      <c r="L15" s="118">
        <f>SUMIFS(statement!$J:$J,statement!$K:$K,ANALISA!$AA13, statement!$A:$A,L$6)</f>
        <v>0</v>
      </c>
      <c r="M15" s="118">
        <f>SUMIFS(statement!$J:$J,statement!$K:$K,ANALISA!$AA13, statement!$A:$A,M$6)</f>
        <v>0</v>
      </c>
      <c r="N15" s="118">
        <f>SUMIFS(statement!$J:$J,statement!$K:$K,ANALISA!$AA13, statement!$A:$A,N$6)</f>
        <v>0</v>
      </c>
      <c r="O15" s="118">
        <f>SUMIFS(statement!$J:$J,statement!$K:$K,ANALISA!$AA13, statement!$A:$A,O$6)</f>
        <v>0</v>
      </c>
      <c r="P15" s="118">
        <f>SUMIFS(statement!$J:$J,statement!$K:$K,ANALISA!$AA13, statement!$A:$A,P$6)</f>
        <v>0</v>
      </c>
      <c r="Q15" s="118">
        <f>SUMIFS(statement!$J:$J,statement!$K:$K,ANALISA!$AA13, statement!$A:$A,Q$6)</f>
        <v>0</v>
      </c>
      <c r="R15" s="118">
        <f>SUMIFS(statement!$J:$J,statement!$K:$K,ANALISA!$AA13, statement!$A:$A,R$6)</f>
        <v>0</v>
      </c>
      <c r="S15" s="118">
        <f>SUMIFS(statement!$J:$J,statement!$K:$K,ANALISA!$AA13, statement!$A:$A,S$6)</f>
        <v>0</v>
      </c>
      <c r="T15" s="118">
        <f>SUMIFS(statement!$J:$J,statement!$K:$K,ANALISA!$AA13, statement!$A:$A,T$6)</f>
        <v>0</v>
      </c>
      <c r="U15" s="118">
        <f>SUMIFS(statement!$J:$J,statement!$K:$K,ANALISA!$AA13, statement!$A:$A,U$6)</f>
        <v>0</v>
      </c>
      <c r="V15" s="118">
        <f>SUMIFS(statement!$J:$J,statement!$K:$K,ANALISA!$AA13, statement!$A:$A,V$6)</f>
        <v>0</v>
      </c>
      <c r="W15" s="118">
        <f>SUMIFS(statement!$J:$J,statement!$K:$K,ANALISA!$AA13, statement!$A:$A,W$6)</f>
        <v>0</v>
      </c>
      <c r="X15" s="118">
        <f>SUMIFS(statement!$J:$J,statement!$K:$K,ANALISA!$AA13, statement!$A:$A,X$6)</f>
        <v>0</v>
      </c>
      <c r="Y15" s="118">
        <f>SUMIFS(statement!$J:$J,statement!$K:$K,ANALISA!$AA13, statement!$A:$A,Y$6)</f>
        <v>0</v>
      </c>
      <c r="Z15" s="118">
        <f>SUMIFS(statement!$J:$J,statement!$K:$K,ANALISA!$AA13, statement!$A:$A,Z$6)</f>
        <v>0</v>
      </c>
      <c r="AA15" s="118">
        <f>SUMIFS(statement!$J:$J,statement!$K:$K,ANALISA!$AA13, statement!$A:$A,AA$6)</f>
        <v>0</v>
      </c>
      <c r="AB15" s="118">
        <f>SUMIFS(statement!$J:$J,statement!$K:$K,ANALISA!$AA13, statement!$A:$A,AB$6)</f>
        <v>0</v>
      </c>
      <c r="AC15" s="118">
        <f>SUMIFS(statement!$J:$J,statement!$K:$K,ANALISA!$AA13, statement!$A:$A,AC$6)</f>
        <v>0</v>
      </c>
      <c r="AD15" s="118">
        <f>SUMIFS(statement!$J:$J,statement!$K:$K,ANALISA!$AA13, statement!$A:$A,AD$6)</f>
        <v>0</v>
      </c>
      <c r="AE15" s="118">
        <f>SUMIFS(statement!$J:$J,statement!$K:$K,ANALISA!$AA13, statement!$A:$A,AE$6)</f>
        <v>0</v>
      </c>
      <c r="AF15" s="118">
        <f>SUMIFS(statement!$J:$J,statement!$K:$K,ANALISA!$AA13, statement!$A:$A,AF$6)</f>
        <v>0</v>
      </c>
      <c r="AG15" s="118">
        <f>SUMIFS(statement!$J:$J,statement!$K:$K,ANALISA!$AA13, statement!$A:$A,AG$6)</f>
        <v>0</v>
      </c>
      <c r="AH15" s="118">
        <f>SUMIFS(statement!$J:$J,statement!$K:$K,ANALISA!$AA13, statement!$A:$A,AH$6)</f>
        <v>0</v>
      </c>
      <c r="AI15" s="118">
        <f>SUMIFS(statement!$J:$J,statement!$K:$K,ANALISA!$AA13, statement!$A:$A,AI$6)</f>
        <v>0</v>
      </c>
      <c r="AJ15" s="124">
        <f>ANALISA!AB13</f>
        <v>0</v>
      </c>
      <c r="AK15" s="125">
        <f t="shared" si="0"/>
        <v>0</v>
      </c>
      <c r="AL15" s="126" t="str">
        <f>IF(SUMIF(statement!$K:$K,ANALISA!AA13,statement!$J:$J)=AK15,"MATCH","UNMATCH")</f>
        <v>MATCH</v>
      </c>
      <c r="AM15" s="104">
        <f>AK15-ANALISA!R13</f>
        <v>0</v>
      </c>
      <c r="AN15" s="104"/>
      <c r="AO15" s="104"/>
      <c r="AP15" s="97"/>
      <c r="AR15" s="127"/>
      <c r="AS15" s="104"/>
      <c r="AT15" s="127"/>
      <c r="AU15" s="128"/>
      <c r="AV15" s="97"/>
      <c r="AW15" s="97"/>
      <c r="AX15" s="129"/>
      <c r="AY15" s="130"/>
      <c r="AZ15" s="97"/>
      <c r="BA15" s="97"/>
      <c r="BB15" s="98"/>
      <c r="BC15" s="97"/>
      <c r="BE15" s="97"/>
      <c r="BF15" s="97"/>
      <c r="BG15" s="97"/>
      <c r="BI15" s="130"/>
      <c r="BJ15" s="130"/>
    </row>
    <row r="16" spans="1:62" s="96" customFormat="1" ht="19.5" customHeight="1" x14ac:dyDescent="0.3">
      <c r="B16" s="123">
        <f>ANALISA!C14</f>
        <v>46272</v>
      </c>
      <c r="C16" s="118">
        <f>SUMIFS(statement!$J:$J,statement!$K:$K,ANALISA!$AA14, statement!$A:$A,C$6)</f>
        <v>0</v>
      </c>
      <c r="D16" s="118">
        <f>SUMIFS(statement!$J:$J,statement!$K:$K,ANALISA!$AA14, statement!$A:$A,D$6)</f>
        <v>0</v>
      </c>
      <c r="E16" s="118">
        <f>SUMIFS(statement!$J:$J,statement!$K:$K,ANALISA!$AA14, statement!$A:$A,E$6)</f>
        <v>0</v>
      </c>
      <c r="F16" s="118">
        <f>SUMIFS(statement!$J:$J,statement!$K:$K,ANALISA!$AA14, statement!$A:$A,F$6)</f>
        <v>0</v>
      </c>
      <c r="G16" s="118">
        <f>SUMIFS(statement!$J:$J,statement!$K:$K,ANALISA!$AA14, statement!$A:$A,G$6)</f>
        <v>0</v>
      </c>
      <c r="H16" s="118">
        <f>SUMIFS(statement!$J:$J,statement!$K:$K,ANALISA!$AA14, statement!$A:$A,H$6)</f>
        <v>0</v>
      </c>
      <c r="I16" s="118">
        <f>SUMIFS(statement!$J:$J,statement!$K:$K,ANALISA!$AA14, statement!$A:$A,I$6)</f>
        <v>0</v>
      </c>
      <c r="J16" s="118">
        <f>SUMIFS(statement!$J:$J,statement!$K:$K,ANALISA!$AA14, statement!$A:$A,J$6)</f>
        <v>0</v>
      </c>
      <c r="K16" s="118">
        <f>SUMIFS(statement!$J:$J,statement!$K:$K,ANALISA!$AA14, statement!$A:$A,K$6)</f>
        <v>0</v>
      </c>
      <c r="L16" s="118">
        <f>SUMIFS(statement!$J:$J,statement!$K:$K,ANALISA!$AA14, statement!$A:$A,L$6)</f>
        <v>0</v>
      </c>
      <c r="M16" s="118">
        <f>SUMIFS(statement!$J:$J,statement!$K:$K,ANALISA!$AA14, statement!$A:$A,M$6)</f>
        <v>0</v>
      </c>
      <c r="N16" s="118">
        <f>SUMIFS(statement!$J:$J,statement!$K:$K,ANALISA!$AA14, statement!$A:$A,N$6)</f>
        <v>0</v>
      </c>
      <c r="O16" s="118">
        <f>SUMIFS(statement!$J:$J,statement!$K:$K,ANALISA!$AA14, statement!$A:$A,O$6)</f>
        <v>0</v>
      </c>
      <c r="P16" s="118">
        <f>SUMIFS(statement!$J:$J,statement!$K:$K,ANALISA!$AA14, statement!$A:$A,P$6)</f>
        <v>0</v>
      </c>
      <c r="Q16" s="118">
        <f>SUMIFS(statement!$J:$J,statement!$K:$K,ANALISA!$AA14, statement!$A:$A,Q$6)</f>
        <v>0</v>
      </c>
      <c r="R16" s="118">
        <f>SUMIFS(statement!$J:$J,statement!$K:$K,ANALISA!$AA14, statement!$A:$A,R$6)</f>
        <v>0</v>
      </c>
      <c r="S16" s="118">
        <f>SUMIFS(statement!$J:$J,statement!$K:$K,ANALISA!$AA14, statement!$A:$A,S$6)</f>
        <v>0</v>
      </c>
      <c r="T16" s="118">
        <f>SUMIFS(statement!$J:$J,statement!$K:$K,ANALISA!$AA14, statement!$A:$A,T$6)</f>
        <v>0</v>
      </c>
      <c r="U16" s="118">
        <f>SUMIFS(statement!$J:$J,statement!$K:$K,ANALISA!$AA14, statement!$A:$A,U$6)</f>
        <v>0</v>
      </c>
      <c r="V16" s="118">
        <f>SUMIFS(statement!$J:$J,statement!$K:$K,ANALISA!$AA14, statement!$A:$A,V$6)</f>
        <v>0</v>
      </c>
      <c r="W16" s="118">
        <f>SUMIFS(statement!$J:$J,statement!$K:$K,ANALISA!$AA14, statement!$A:$A,W$6)</f>
        <v>0</v>
      </c>
      <c r="X16" s="118">
        <f>SUMIFS(statement!$J:$J,statement!$K:$K,ANALISA!$AA14, statement!$A:$A,X$6)</f>
        <v>0</v>
      </c>
      <c r="Y16" s="118">
        <f>SUMIFS(statement!$J:$J,statement!$K:$K,ANALISA!$AA14, statement!$A:$A,Y$6)</f>
        <v>0</v>
      </c>
      <c r="Z16" s="118">
        <f>SUMIFS(statement!$J:$J,statement!$K:$K,ANALISA!$AA14, statement!$A:$A,Z$6)</f>
        <v>0</v>
      </c>
      <c r="AA16" s="118">
        <f>SUMIFS(statement!$J:$J,statement!$K:$K,ANALISA!$AA14, statement!$A:$A,AA$6)</f>
        <v>0</v>
      </c>
      <c r="AB16" s="118">
        <f>SUMIFS(statement!$J:$J,statement!$K:$K,ANALISA!$AA14, statement!$A:$A,AB$6)</f>
        <v>0</v>
      </c>
      <c r="AC16" s="118">
        <f>SUMIFS(statement!$J:$J,statement!$K:$K,ANALISA!$AA14, statement!$A:$A,AC$6)</f>
        <v>0</v>
      </c>
      <c r="AD16" s="118">
        <f>SUMIFS(statement!$J:$J,statement!$K:$K,ANALISA!$AA14, statement!$A:$A,AD$6)</f>
        <v>0</v>
      </c>
      <c r="AE16" s="118">
        <f>SUMIFS(statement!$J:$J,statement!$K:$K,ANALISA!$AA14, statement!$A:$A,AE$6)</f>
        <v>0</v>
      </c>
      <c r="AF16" s="118">
        <f>SUMIFS(statement!$J:$J,statement!$K:$K,ANALISA!$AA14, statement!$A:$A,AF$6)</f>
        <v>0</v>
      </c>
      <c r="AG16" s="118">
        <f>SUMIFS(statement!$J:$J,statement!$K:$K,ANALISA!$AA14, statement!$A:$A,AG$6)</f>
        <v>0</v>
      </c>
      <c r="AH16" s="118">
        <f>SUMIFS(statement!$J:$J,statement!$K:$K,ANALISA!$AA14, statement!$A:$A,AH$6)</f>
        <v>0</v>
      </c>
      <c r="AI16" s="118">
        <f>SUMIFS(statement!$J:$J,statement!$K:$K,ANALISA!$AA14, statement!$A:$A,AI$6)</f>
        <v>0</v>
      </c>
      <c r="AJ16" s="124">
        <f>ANALISA!AB14</f>
        <v>0</v>
      </c>
      <c r="AK16" s="125">
        <f t="shared" si="0"/>
        <v>0</v>
      </c>
      <c r="AL16" s="126" t="str">
        <f>IF(SUMIF(statement!$K:$K,ANALISA!AA14,statement!$J:$J)=AK16,"MATCH","UNMATCH")</f>
        <v>MATCH</v>
      </c>
      <c r="AM16" s="104">
        <f>AK16-ANALISA!R14</f>
        <v>0</v>
      </c>
      <c r="AN16" s="104"/>
      <c r="AO16" s="104"/>
      <c r="AP16" s="97"/>
      <c r="AQ16" s="97"/>
      <c r="AR16" s="127"/>
      <c r="AS16" s="104"/>
      <c r="AT16" s="127"/>
      <c r="AU16" s="128"/>
      <c r="AV16" s="97"/>
      <c r="AW16" s="97"/>
      <c r="AX16" s="129"/>
      <c r="AY16" s="130"/>
      <c r="AZ16" s="132"/>
      <c r="BA16" s="97"/>
      <c r="BB16" s="98"/>
      <c r="BC16" s="97"/>
      <c r="BE16" s="97"/>
      <c r="BF16" s="97"/>
      <c r="BG16" s="97"/>
      <c r="BI16" s="130"/>
      <c r="BJ16" s="130"/>
    </row>
    <row r="17" spans="2:63" s="96" customFormat="1" ht="19.5" customHeight="1" x14ac:dyDescent="0.3">
      <c r="B17" s="123">
        <f>ANALISA!C15</f>
        <v>46273</v>
      </c>
      <c r="C17" s="118">
        <f>SUMIFS(statement!$J:$J,statement!$K:$K,ANALISA!$AA15, statement!$A:$A,C$6)</f>
        <v>0</v>
      </c>
      <c r="D17" s="118">
        <f>SUMIFS(statement!$J:$J,statement!$K:$K,ANALISA!$AA15, statement!$A:$A,D$6)</f>
        <v>0</v>
      </c>
      <c r="E17" s="118">
        <f>SUMIFS(statement!$J:$J,statement!$K:$K,ANALISA!$AA15, statement!$A:$A,E$6)</f>
        <v>0</v>
      </c>
      <c r="F17" s="118">
        <f>SUMIFS(statement!$J:$J,statement!$K:$K,ANALISA!$AA15, statement!$A:$A,F$6)</f>
        <v>0</v>
      </c>
      <c r="G17" s="118">
        <f>SUMIFS(statement!$J:$J,statement!$K:$K,ANALISA!$AA15, statement!$A:$A,G$6)</f>
        <v>0</v>
      </c>
      <c r="H17" s="118">
        <f>SUMIFS(statement!$J:$J,statement!$K:$K,ANALISA!$AA15, statement!$A:$A,H$6)</f>
        <v>0</v>
      </c>
      <c r="I17" s="118">
        <f>SUMIFS(statement!$J:$J,statement!$K:$K,ANALISA!$AA15, statement!$A:$A,I$6)</f>
        <v>0</v>
      </c>
      <c r="J17" s="118">
        <f>SUMIFS(statement!$J:$J,statement!$K:$K,ANALISA!$AA15, statement!$A:$A,J$6)</f>
        <v>0</v>
      </c>
      <c r="K17" s="118">
        <f>SUMIFS(statement!$J:$J,statement!$K:$K,ANALISA!$AA15, statement!$A:$A,K$6)</f>
        <v>0</v>
      </c>
      <c r="L17" s="118">
        <f>SUMIFS(statement!$J:$J,statement!$K:$K,ANALISA!$AA15, statement!$A:$A,L$6)</f>
        <v>0</v>
      </c>
      <c r="M17" s="118">
        <f>SUMIFS(statement!$J:$J,statement!$K:$K,ANALISA!$AA15, statement!$A:$A,M$6)</f>
        <v>0</v>
      </c>
      <c r="N17" s="118">
        <f>SUMIFS(statement!$J:$J,statement!$K:$K,ANALISA!$AA15, statement!$A:$A,N$6)</f>
        <v>0</v>
      </c>
      <c r="O17" s="118">
        <f>SUMIFS(statement!$J:$J,statement!$K:$K,ANALISA!$AA15, statement!$A:$A,O$6)</f>
        <v>0</v>
      </c>
      <c r="P17" s="118">
        <f>SUMIFS(statement!$J:$J,statement!$K:$K,ANALISA!$AA15, statement!$A:$A,P$6)</f>
        <v>0</v>
      </c>
      <c r="Q17" s="118">
        <f>SUMIFS(statement!$J:$J,statement!$K:$K,ANALISA!$AA15, statement!$A:$A,Q$6)</f>
        <v>0</v>
      </c>
      <c r="R17" s="118">
        <f>SUMIFS(statement!$J:$J,statement!$K:$K,ANALISA!$AA15, statement!$A:$A,R$6)</f>
        <v>0</v>
      </c>
      <c r="S17" s="118">
        <f>SUMIFS(statement!$J:$J,statement!$K:$K,ANALISA!$AA15, statement!$A:$A,S$6)</f>
        <v>0</v>
      </c>
      <c r="T17" s="118">
        <f>SUMIFS(statement!$J:$J,statement!$K:$K,ANALISA!$AA15, statement!$A:$A,T$6)</f>
        <v>0</v>
      </c>
      <c r="U17" s="118">
        <f>SUMIFS(statement!$J:$J,statement!$K:$K,ANALISA!$AA15, statement!$A:$A,U$6)</f>
        <v>0</v>
      </c>
      <c r="V17" s="118">
        <f>SUMIFS(statement!$J:$J,statement!$K:$K,ANALISA!$AA15, statement!$A:$A,V$6)</f>
        <v>0</v>
      </c>
      <c r="W17" s="118">
        <f>SUMIFS(statement!$J:$J,statement!$K:$K,ANALISA!$AA15, statement!$A:$A,W$6)</f>
        <v>0</v>
      </c>
      <c r="X17" s="118">
        <f>SUMIFS(statement!$J:$J,statement!$K:$K,ANALISA!$AA15, statement!$A:$A,X$6)</f>
        <v>0</v>
      </c>
      <c r="Y17" s="118">
        <f>SUMIFS(statement!$J:$J,statement!$K:$K,ANALISA!$AA15, statement!$A:$A,Y$6)</f>
        <v>0</v>
      </c>
      <c r="Z17" s="118">
        <f>SUMIFS(statement!$J:$J,statement!$K:$K,ANALISA!$AA15, statement!$A:$A,Z$6)</f>
        <v>0</v>
      </c>
      <c r="AA17" s="118">
        <f>SUMIFS(statement!$J:$J,statement!$K:$K,ANALISA!$AA15, statement!$A:$A,AA$6)</f>
        <v>0</v>
      </c>
      <c r="AB17" s="118">
        <f>SUMIFS(statement!$J:$J,statement!$K:$K,ANALISA!$AA15, statement!$A:$A,AB$6)</f>
        <v>0</v>
      </c>
      <c r="AC17" s="118">
        <f>SUMIFS(statement!$J:$J,statement!$K:$K,ANALISA!$AA15, statement!$A:$A,AC$6)</f>
        <v>0</v>
      </c>
      <c r="AD17" s="118">
        <f>SUMIFS(statement!$J:$J,statement!$K:$K,ANALISA!$AA15, statement!$A:$A,AD$6)</f>
        <v>0</v>
      </c>
      <c r="AE17" s="118">
        <f>SUMIFS(statement!$J:$J,statement!$K:$K,ANALISA!$AA15, statement!$A:$A,AE$6)</f>
        <v>0</v>
      </c>
      <c r="AF17" s="118">
        <f>SUMIFS(statement!$J:$J,statement!$K:$K,ANALISA!$AA15, statement!$A:$A,AF$6)</f>
        <v>0</v>
      </c>
      <c r="AG17" s="118">
        <f>SUMIFS(statement!$J:$J,statement!$K:$K,ANALISA!$AA15, statement!$A:$A,AG$6)</f>
        <v>0</v>
      </c>
      <c r="AH17" s="118">
        <f>SUMIFS(statement!$J:$J,statement!$K:$K,ANALISA!$AA15, statement!$A:$A,AH$6)</f>
        <v>0</v>
      </c>
      <c r="AI17" s="118">
        <f>SUMIFS(statement!$J:$J,statement!$K:$K,ANALISA!$AA15, statement!$A:$A,AI$6)</f>
        <v>0</v>
      </c>
      <c r="AJ17" s="124">
        <f>ANALISA!AB15</f>
        <v>0</v>
      </c>
      <c r="AK17" s="125">
        <f t="shared" si="0"/>
        <v>0</v>
      </c>
      <c r="AL17" s="126" t="str">
        <f>IF(SUMIF(statement!$K:$K,ANALISA!AA15,statement!$J:$J)=AK17,"MATCH","UNMATCH")</f>
        <v>MATCH</v>
      </c>
      <c r="AM17" s="104">
        <f>AK17-ANALISA!R15</f>
        <v>0</v>
      </c>
      <c r="AN17" s="104"/>
      <c r="AO17" s="104"/>
      <c r="AP17" s="97"/>
      <c r="AQ17" s="97"/>
      <c r="AR17" s="127"/>
      <c r="AS17" s="104"/>
      <c r="AT17" s="127"/>
      <c r="AU17" s="128"/>
      <c r="AV17" s="97"/>
      <c r="AW17" s="97"/>
      <c r="AX17" s="129"/>
      <c r="AY17" s="130"/>
      <c r="AZ17" s="132"/>
      <c r="BA17" s="97"/>
      <c r="BB17" s="98"/>
      <c r="BC17" s="97"/>
      <c r="BE17" s="97"/>
      <c r="BF17" s="97"/>
      <c r="BG17" s="97"/>
      <c r="BI17" s="130"/>
      <c r="BJ17" s="130"/>
    </row>
    <row r="18" spans="2:63" ht="19.5" customHeight="1" x14ac:dyDescent="0.3">
      <c r="B18" s="123">
        <f>ANALISA!C16</f>
        <v>46274</v>
      </c>
      <c r="C18" s="118">
        <f>SUMIFS(statement!$J:$J,statement!$K:$K,ANALISA!$AA16, statement!$A:$A,C$6)</f>
        <v>0</v>
      </c>
      <c r="D18" s="118">
        <f>SUMIFS(statement!$J:$J,statement!$K:$K,ANALISA!$AA16, statement!$A:$A,D$6)</f>
        <v>0</v>
      </c>
      <c r="E18" s="118">
        <f>SUMIFS(statement!$J:$J,statement!$K:$K,ANALISA!$AA16, statement!$A:$A,E$6)</f>
        <v>0</v>
      </c>
      <c r="F18" s="118">
        <f>SUMIFS(statement!$J:$J,statement!$K:$K,ANALISA!$AA16, statement!$A:$A,F$6)</f>
        <v>0</v>
      </c>
      <c r="G18" s="118">
        <f>SUMIFS(statement!$J:$J,statement!$K:$K,ANALISA!$AA16, statement!$A:$A,G$6)</f>
        <v>0</v>
      </c>
      <c r="H18" s="118">
        <f>SUMIFS(statement!$J:$J,statement!$K:$K,ANALISA!$AA16, statement!$A:$A,H$6)</f>
        <v>0</v>
      </c>
      <c r="I18" s="118">
        <f>SUMIFS(statement!$J:$J,statement!$K:$K,ANALISA!$AA16, statement!$A:$A,I$6)</f>
        <v>0</v>
      </c>
      <c r="J18" s="118">
        <f>SUMIFS(statement!$J:$J,statement!$K:$K,ANALISA!$AA16, statement!$A:$A,J$6)</f>
        <v>0</v>
      </c>
      <c r="K18" s="118">
        <f>SUMIFS(statement!$J:$J,statement!$K:$K,ANALISA!$AA16, statement!$A:$A,K$6)</f>
        <v>0</v>
      </c>
      <c r="L18" s="118">
        <f>SUMIFS(statement!$J:$J,statement!$K:$K,ANALISA!$AA16, statement!$A:$A,L$6)</f>
        <v>0</v>
      </c>
      <c r="M18" s="118">
        <f>SUMIFS(statement!$J:$J,statement!$K:$K,ANALISA!$AA16, statement!$A:$A,M$6)</f>
        <v>0</v>
      </c>
      <c r="N18" s="118">
        <f>SUMIFS(statement!$J:$J,statement!$K:$K,ANALISA!$AA16, statement!$A:$A,N$6)</f>
        <v>0</v>
      </c>
      <c r="O18" s="118">
        <f>SUMIFS(statement!$J:$J,statement!$K:$K,ANALISA!$AA16, statement!$A:$A,O$6)</f>
        <v>0</v>
      </c>
      <c r="P18" s="118">
        <f>SUMIFS(statement!$J:$J,statement!$K:$K,ANALISA!$AA16, statement!$A:$A,P$6)</f>
        <v>0</v>
      </c>
      <c r="Q18" s="118">
        <f>SUMIFS(statement!$J:$J,statement!$K:$K,ANALISA!$AA16, statement!$A:$A,Q$6)</f>
        <v>0</v>
      </c>
      <c r="R18" s="118">
        <f>SUMIFS(statement!$J:$J,statement!$K:$K,ANALISA!$AA16, statement!$A:$A,R$6)</f>
        <v>0</v>
      </c>
      <c r="S18" s="118">
        <f>SUMIFS(statement!$J:$J,statement!$K:$K,ANALISA!$AA16, statement!$A:$A,S$6)</f>
        <v>0</v>
      </c>
      <c r="T18" s="118">
        <f>SUMIFS(statement!$J:$J,statement!$K:$K,ANALISA!$AA16, statement!$A:$A,T$6)</f>
        <v>0</v>
      </c>
      <c r="U18" s="118">
        <f>SUMIFS(statement!$J:$J,statement!$K:$K,ANALISA!$AA16, statement!$A:$A,U$6)</f>
        <v>0</v>
      </c>
      <c r="V18" s="118">
        <f>SUMIFS(statement!$J:$J,statement!$K:$K,ANALISA!$AA16, statement!$A:$A,V$6)</f>
        <v>0</v>
      </c>
      <c r="W18" s="118">
        <f>SUMIFS(statement!$J:$J,statement!$K:$K,ANALISA!$AA16, statement!$A:$A,W$6)</f>
        <v>0</v>
      </c>
      <c r="X18" s="118">
        <f>SUMIFS(statement!$J:$J,statement!$K:$K,ANALISA!$AA16, statement!$A:$A,X$6)</f>
        <v>0</v>
      </c>
      <c r="Y18" s="118">
        <f>SUMIFS(statement!$J:$J,statement!$K:$K,ANALISA!$AA16, statement!$A:$A,Y$6)</f>
        <v>0</v>
      </c>
      <c r="Z18" s="118">
        <f>SUMIFS(statement!$J:$J,statement!$K:$K,ANALISA!$AA16, statement!$A:$A,Z$6)</f>
        <v>0</v>
      </c>
      <c r="AA18" s="118">
        <f>SUMIFS(statement!$J:$J,statement!$K:$K,ANALISA!$AA16, statement!$A:$A,AA$6)</f>
        <v>0</v>
      </c>
      <c r="AB18" s="118">
        <f>SUMIFS(statement!$J:$J,statement!$K:$K,ANALISA!$AA16, statement!$A:$A,AB$6)</f>
        <v>0</v>
      </c>
      <c r="AC18" s="118">
        <f>SUMIFS(statement!$J:$J,statement!$K:$K,ANALISA!$AA16, statement!$A:$A,AC$6)</f>
        <v>0</v>
      </c>
      <c r="AD18" s="118">
        <f>SUMIFS(statement!$J:$J,statement!$K:$K,ANALISA!$AA16, statement!$A:$A,AD$6)</f>
        <v>0</v>
      </c>
      <c r="AE18" s="118">
        <f>SUMIFS(statement!$J:$J,statement!$K:$K,ANALISA!$AA16, statement!$A:$A,AE$6)</f>
        <v>0</v>
      </c>
      <c r="AF18" s="118">
        <f>SUMIFS(statement!$J:$J,statement!$K:$K,ANALISA!$AA16, statement!$A:$A,AF$6)</f>
        <v>0</v>
      </c>
      <c r="AG18" s="118">
        <f>SUMIFS(statement!$J:$J,statement!$K:$K,ANALISA!$AA16, statement!$A:$A,AG$6)</f>
        <v>0</v>
      </c>
      <c r="AH18" s="118">
        <f>SUMIFS(statement!$J:$J,statement!$K:$K,ANALISA!$AA16, statement!$A:$A,AH$6)</f>
        <v>0</v>
      </c>
      <c r="AI18" s="118">
        <f>SUMIFS(statement!$J:$J,statement!$K:$K,ANALISA!$AA16, statement!$A:$A,AI$6)</f>
        <v>0</v>
      </c>
      <c r="AJ18" s="124">
        <f>ANALISA!AB16</f>
        <v>0</v>
      </c>
      <c r="AK18" s="125">
        <f t="shared" si="0"/>
        <v>0</v>
      </c>
      <c r="AL18" s="126" t="str">
        <f>IF(SUMIF(statement!$K:$K,ANALISA!AA16,statement!$J:$J)=AK18,"MATCH","UNMATCH")</f>
        <v>MATCH</v>
      </c>
      <c r="AM18" s="104">
        <f>AK18-ANALISA!R16</f>
        <v>0</v>
      </c>
      <c r="AN18" s="104"/>
      <c r="AO18" s="104"/>
      <c r="AP18" s="97"/>
      <c r="AR18" s="127"/>
      <c r="AS18" s="104"/>
      <c r="AT18" s="127"/>
      <c r="AU18" s="128"/>
      <c r="AV18" s="97"/>
      <c r="AW18" s="97"/>
      <c r="AX18" s="129"/>
      <c r="AY18" s="130"/>
      <c r="AZ18" s="97"/>
      <c r="BA18" s="97"/>
      <c r="BB18" s="98"/>
      <c r="BC18" s="97"/>
      <c r="BE18" s="97"/>
      <c r="BF18" s="97"/>
      <c r="BG18" s="97"/>
      <c r="BI18" s="130"/>
      <c r="BJ18" s="130"/>
    </row>
    <row r="19" spans="2:63" ht="19.5" customHeight="1" x14ac:dyDescent="0.3">
      <c r="B19" s="123">
        <f>ANALISA!C17</f>
        <v>46275</v>
      </c>
      <c r="C19" s="118">
        <f>SUMIFS(statement!$J:$J,statement!$K:$K,ANALISA!$AA17, statement!$A:$A,C$6)</f>
        <v>0</v>
      </c>
      <c r="D19" s="118">
        <f>SUMIFS(statement!$J:$J,statement!$K:$K,ANALISA!$AA17, statement!$A:$A,D$6)</f>
        <v>0</v>
      </c>
      <c r="E19" s="118">
        <f>SUMIFS(statement!$J:$J,statement!$K:$K,ANALISA!$AA17, statement!$A:$A,E$6)</f>
        <v>0</v>
      </c>
      <c r="F19" s="118">
        <f>SUMIFS(statement!$J:$J,statement!$K:$K,ANALISA!$AA17, statement!$A:$A,F$6)</f>
        <v>0</v>
      </c>
      <c r="G19" s="118">
        <f>SUMIFS(statement!$J:$J,statement!$K:$K,ANALISA!$AA17, statement!$A:$A,G$6)</f>
        <v>0</v>
      </c>
      <c r="H19" s="118">
        <f>SUMIFS(statement!$J:$J,statement!$K:$K,ANALISA!$AA17, statement!$A:$A,H$6)</f>
        <v>0</v>
      </c>
      <c r="I19" s="118">
        <f>SUMIFS(statement!$J:$J,statement!$K:$K,ANALISA!$AA17, statement!$A:$A,I$6)</f>
        <v>0</v>
      </c>
      <c r="J19" s="118">
        <f>SUMIFS(statement!$J:$J,statement!$K:$K,ANALISA!$AA17, statement!$A:$A,J$6)</f>
        <v>0</v>
      </c>
      <c r="K19" s="118">
        <f>SUMIFS(statement!$J:$J,statement!$K:$K,ANALISA!$AA17, statement!$A:$A,K$6)</f>
        <v>0</v>
      </c>
      <c r="L19" s="118">
        <f>SUMIFS(statement!$J:$J,statement!$K:$K,ANALISA!$AA17, statement!$A:$A,L$6)</f>
        <v>0</v>
      </c>
      <c r="M19" s="118">
        <f>SUMIFS(statement!$J:$J,statement!$K:$K,ANALISA!$AA17, statement!$A:$A,M$6)</f>
        <v>0</v>
      </c>
      <c r="N19" s="118">
        <f>SUMIFS(statement!$J:$J,statement!$K:$K,ANALISA!$AA17, statement!$A:$A,N$6)</f>
        <v>0</v>
      </c>
      <c r="O19" s="118">
        <f>SUMIFS(statement!$J:$J,statement!$K:$K,ANALISA!$AA17, statement!$A:$A,O$6)</f>
        <v>0</v>
      </c>
      <c r="P19" s="118">
        <f>SUMIFS(statement!$J:$J,statement!$K:$K,ANALISA!$AA17, statement!$A:$A,P$6)</f>
        <v>0</v>
      </c>
      <c r="Q19" s="118">
        <f>SUMIFS(statement!$J:$J,statement!$K:$K,ANALISA!$AA17, statement!$A:$A,Q$6)</f>
        <v>0</v>
      </c>
      <c r="R19" s="118">
        <f>SUMIFS(statement!$J:$J,statement!$K:$K,ANALISA!$AA17, statement!$A:$A,R$6)</f>
        <v>0</v>
      </c>
      <c r="S19" s="118">
        <f>SUMIFS(statement!$J:$J,statement!$K:$K,ANALISA!$AA17, statement!$A:$A,S$6)</f>
        <v>0</v>
      </c>
      <c r="T19" s="118">
        <f>SUMIFS(statement!$J:$J,statement!$K:$K,ANALISA!$AA17, statement!$A:$A,T$6)</f>
        <v>0</v>
      </c>
      <c r="U19" s="118">
        <f>SUMIFS(statement!$J:$J,statement!$K:$K,ANALISA!$AA17, statement!$A:$A,U$6)</f>
        <v>0</v>
      </c>
      <c r="V19" s="118">
        <f>SUMIFS(statement!$J:$J,statement!$K:$K,ANALISA!$AA17, statement!$A:$A,V$6)</f>
        <v>0</v>
      </c>
      <c r="W19" s="118">
        <f>SUMIFS(statement!$J:$J,statement!$K:$K,ANALISA!$AA17, statement!$A:$A,W$6)</f>
        <v>0</v>
      </c>
      <c r="X19" s="118">
        <f>SUMIFS(statement!$J:$J,statement!$K:$K,ANALISA!$AA17, statement!$A:$A,X$6)</f>
        <v>0</v>
      </c>
      <c r="Y19" s="118">
        <f>SUMIFS(statement!$J:$J,statement!$K:$K,ANALISA!$AA17, statement!$A:$A,Y$6)</f>
        <v>0</v>
      </c>
      <c r="Z19" s="118">
        <f>SUMIFS(statement!$J:$J,statement!$K:$K,ANALISA!$AA17, statement!$A:$A,Z$6)</f>
        <v>0</v>
      </c>
      <c r="AA19" s="118">
        <f>SUMIFS(statement!$J:$J,statement!$K:$K,ANALISA!$AA17, statement!$A:$A,AA$6)</f>
        <v>0</v>
      </c>
      <c r="AB19" s="118">
        <f>SUMIFS(statement!$J:$J,statement!$K:$K,ANALISA!$AA17, statement!$A:$A,AB$6)</f>
        <v>0</v>
      </c>
      <c r="AC19" s="118">
        <f>SUMIFS(statement!$J:$J,statement!$K:$K,ANALISA!$AA17, statement!$A:$A,AC$6)</f>
        <v>0</v>
      </c>
      <c r="AD19" s="118">
        <f>SUMIFS(statement!$J:$J,statement!$K:$K,ANALISA!$AA17, statement!$A:$A,AD$6)</f>
        <v>0</v>
      </c>
      <c r="AE19" s="118">
        <f>SUMIFS(statement!$J:$J,statement!$K:$K,ANALISA!$AA17, statement!$A:$A,AE$6)</f>
        <v>0</v>
      </c>
      <c r="AF19" s="118">
        <f>SUMIFS(statement!$J:$J,statement!$K:$K,ANALISA!$AA17, statement!$A:$A,AF$6)</f>
        <v>0</v>
      </c>
      <c r="AG19" s="118">
        <f>SUMIFS(statement!$J:$J,statement!$K:$K,ANALISA!$AA17, statement!$A:$A,AG$6)</f>
        <v>0</v>
      </c>
      <c r="AH19" s="118">
        <f>SUMIFS(statement!$J:$J,statement!$K:$K,ANALISA!$AA17, statement!$A:$A,AH$6)</f>
        <v>0</v>
      </c>
      <c r="AI19" s="118">
        <f>SUMIFS(statement!$J:$J,statement!$K:$K,ANALISA!$AA17, statement!$A:$A,AI$6)</f>
        <v>0</v>
      </c>
      <c r="AJ19" s="124">
        <f>ANALISA!AB17</f>
        <v>0</v>
      </c>
      <c r="AK19" s="125">
        <f t="shared" si="0"/>
        <v>0</v>
      </c>
      <c r="AL19" s="126" t="str">
        <f>IF(SUMIF(statement!$K:$K,ANALISA!AA17,statement!$J:$J)=AK19,"MATCH","UNMATCH")</f>
        <v>MATCH</v>
      </c>
      <c r="AM19" s="104">
        <f>AK19-ANALISA!R17</f>
        <v>0</v>
      </c>
      <c r="AN19" s="104"/>
      <c r="AO19" s="104"/>
      <c r="AP19" s="97"/>
      <c r="AR19" s="127"/>
      <c r="AS19" s="104"/>
      <c r="AT19" s="127"/>
      <c r="AU19" s="128"/>
      <c r="AV19" s="97"/>
      <c r="AW19" s="97"/>
      <c r="AX19" s="129"/>
      <c r="AY19" s="130"/>
      <c r="AZ19" s="97"/>
      <c r="BA19" s="97"/>
      <c r="BB19" s="98"/>
      <c r="BC19" s="97"/>
      <c r="BE19" s="97"/>
      <c r="BF19" s="97"/>
      <c r="BG19" s="97"/>
      <c r="BI19" s="130"/>
      <c r="BJ19" s="130"/>
    </row>
    <row r="20" spans="2:63" ht="19.5" customHeight="1" x14ac:dyDescent="0.3">
      <c r="B20" s="123">
        <f>ANALISA!C18</f>
        <v>46276</v>
      </c>
      <c r="C20" s="118">
        <f>SUMIFS(statement!$J:$J,statement!$K:$K,ANALISA!$AA18, statement!$A:$A,C$6)</f>
        <v>0</v>
      </c>
      <c r="D20" s="118">
        <f>SUMIFS(statement!$J:$J,statement!$K:$K,ANALISA!$AA18, statement!$A:$A,D$6)</f>
        <v>0</v>
      </c>
      <c r="E20" s="118">
        <f>SUMIFS(statement!$J:$J,statement!$K:$K,ANALISA!$AA18, statement!$A:$A,E$6)</f>
        <v>0</v>
      </c>
      <c r="F20" s="118">
        <f>SUMIFS(statement!$J:$J,statement!$K:$K,ANALISA!$AA18, statement!$A:$A,F$6)</f>
        <v>0</v>
      </c>
      <c r="G20" s="118">
        <f>SUMIFS(statement!$J:$J,statement!$K:$K,ANALISA!$AA18, statement!$A:$A,G$6)</f>
        <v>0</v>
      </c>
      <c r="H20" s="118">
        <f>SUMIFS(statement!$J:$J,statement!$K:$K,ANALISA!$AA18, statement!$A:$A,H$6)</f>
        <v>0</v>
      </c>
      <c r="I20" s="118">
        <f>SUMIFS(statement!$J:$J,statement!$K:$K,ANALISA!$AA18, statement!$A:$A,I$6)</f>
        <v>0</v>
      </c>
      <c r="J20" s="118">
        <f>SUMIFS(statement!$J:$J,statement!$K:$K,ANALISA!$AA18, statement!$A:$A,J$6)</f>
        <v>0</v>
      </c>
      <c r="K20" s="118">
        <f>SUMIFS(statement!$J:$J,statement!$K:$K,ANALISA!$AA18, statement!$A:$A,K$6)</f>
        <v>0</v>
      </c>
      <c r="L20" s="118">
        <f>SUMIFS(statement!$J:$J,statement!$K:$K,ANALISA!$AA18, statement!$A:$A,L$6)</f>
        <v>0</v>
      </c>
      <c r="M20" s="118">
        <f>SUMIFS(statement!$J:$J,statement!$K:$K,ANALISA!$AA18, statement!$A:$A,M$6)</f>
        <v>0</v>
      </c>
      <c r="N20" s="118">
        <f>SUMIFS(statement!$J:$J,statement!$K:$K,ANALISA!$AA18, statement!$A:$A,N$6)</f>
        <v>0</v>
      </c>
      <c r="O20" s="118">
        <f>SUMIFS(statement!$J:$J,statement!$K:$K,ANALISA!$AA18, statement!$A:$A,O$6)</f>
        <v>0</v>
      </c>
      <c r="P20" s="118">
        <f>SUMIFS(statement!$J:$J,statement!$K:$K,ANALISA!$AA18, statement!$A:$A,P$6)</f>
        <v>0</v>
      </c>
      <c r="Q20" s="118">
        <f>SUMIFS(statement!$J:$J,statement!$K:$K,ANALISA!$AA18, statement!$A:$A,Q$6)</f>
        <v>0</v>
      </c>
      <c r="R20" s="118">
        <f>SUMIFS(statement!$J:$J,statement!$K:$K,ANALISA!$AA18, statement!$A:$A,R$6)</f>
        <v>0</v>
      </c>
      <c r="S20" s="118">
        <f>SUMIFS(statement!$J:$J,statement!$K:$K,ANALISA!$AA18, statement!$A:$A,S$6)</f>
        <v>0</v>
      </c>
      <c r="T20" s="118">
        <f>SUMIFS(statement!$J:$J,statement!$K:$K,ANALISA!$AA18, statement!$A:$A,T$6)</f>
        <v>0</v>
      </c>
      <c r="U20" s="118">
        <f>SUMIFS(statement!$J:$J,statement!$K:$K,ANALISA!$AA18, statement!$A:$A,U$6)</f>
        <v>0</v>
      </c>
      <c r="V20" s="118">
        <f>SUMIFS(statement!$J:$J,statement!$K:$K,ANALISA!$AA18, statement!$A:$A,V$6)</f>
        <v>0</v>
      </c>
      <c r="W20" s="118">
        <f>SUMIFS(statement!$J:$J,statement!$K:$K,ANALISA!$AA18, statement!$A:$A,W$6)</f>
        <v>0</v>
      </c>
      <c r="X20" s="118">
        <f>SUMIFS(statement!$J:$J,statement!$K:$K,ANALISA!$AA18, statement!$A:$A,X$6)</f>
        <v>0</v>
      </c>
      <c r="Y20" s="118">
        <f>SUMIFS(statement!$J:$J,statement!$K:$K,ANALISA!$AA18, statement!$A:$A,Y$6)</f>
        <v>0</v>
      </c>
      <c r="Z20" s="118">
        <f>SUMIFS(statement!$J:$J,statement!$K:$K,ANALISA!$AA18, statement!$A:$A,Z$6)</f>
        <v>0</v>
      </c>
      <c r="AA20" s="118">
        <f>SUMIFS(statement!$J:$J,statement!$K:$K,ANALISA!$AA18, statement!$A:$A,AA$6)</f>
        <v>0</v>
      </c>
      <c r="AB20" s="118">
        <f>SUMIFS(statement!$J:$J,statement!$K:$K,ANALISA!$AA18, statement!$A:$A,AB$6)</f>
        <v>0</v>
      </c>
      <c r="AC20" s="118">
        <f>SUMIFS(statement!$J:$J,statement!$K:$K,ANALISA!$AA18, statement!$A:$A,AC$6)</f>
        <v>0</v>
      </c>
      <c r="AD20" s="118">
        <f>SUMIFS(statement!$J:$J,statement!$K:$K,ANALISA!$AA18, statement!$A:$A,AD$6)</f>
        <v>0</v>
      </c>
      <c r="AE20" s="118">
        <f>SUMIFS(statement!$J:$J,statement!$K:$K,ANALISA!$AA18, statement!$A:$A,AE$6)</f>
        <v>0</v>
      </c>
      <c r="AF20" s="118">
        <f>SUMIFS(statement!$J:$J,statement!$K:$K,ANALISA!$AA18, statement!$A:$A,AF$6)</f>
        <v>0</v>
      </c>
      <c r="AG20" s="118">
        <f>SUMIFS(statement!$J:$J,statement!$K:$K,ANALISA!$AA18, statement!$A:$A,AG$6)</f>
        <v>0</v>
      </c>
      <c r="AH20" s="118">
        <f>SUMIFS(statement!$J:$J,statement!$K:$K,ANALISA!$AA18, statement!$A:$A,AH$6)</f>
        <v>0</v>
      </c>
      <c r="AI20" s="118">
        <f>SUMIFS(statement!$J:$J,statement!$K:$K,ANALISA!$AA18, statement!$A:$A,AI$6)</f>
        <v>0</v>
      </c>
      <c r="AJ20" s="124">
        <f>ANALISA!AB18</f>
        <v>0</v>
      </c>
      <c r="AK20" s="125">
        <f t="shared" si="0"/>
        <v>0</v>
      </c>
      <c r="AL20" s="126" t="str">
        <f>IF(SUMIF(statement!$K:$K,ANALISA!AA18,statement!$J:$J)=AK20,"MATCH","UNMATCH")</f>
        <v>MATCH</v>
      </c>
      <c r="AM20" s="104">
        <f>AK20-ANALISA!R18</f>
        <v>0</v>
      </c>
      <c r="AN20" s="104"/>
      <c r="AO20" s="104"/>
      <c r="AP20" s="97"/>
      <c r="AR20" s="127"/>
      <c r="AS20" s="104"/>
      <c r="AT20" s="127"/>
      <c r="AU20" s="128"/>
      <c r="AV20" s="97"/>
      <c r="AW20" s="97"/>
      <c r="AX20" s="129"/>
      <c r="AY20" s="130"/>
      <c r="BA20" s="97"/>
      <c r="BB20" s="98"/>
      <c r="BC20" s="97"/>
      <c r="BE20" s="97"/>
      <c r="BF20" s="97"/>
      <c r="BG20" s="97"/>
      <c r="BI20" s="130"/>
      <c r="BJ20" s="130"/>
    </row>
    <row r="21" spans="2:63" ht="19.5" customHeight="1" x14ac:dyDescent="0.3">
      <c r="B21" s="123">
        <f>ANALISA!C19</f>
        <v>46277</v>
      </c>
      <c r="C21" s="118">
        <f>SUMIFS(statement!$J:$J,statement!$K:$K,ANALISA!$AA19, statement!$A:$A,C$6)</f>
        <v>0</v>
      </c>
      <c r="D21" s="118">
        <f>SUMIFS(statement!$J:$J,statement!$K:$K,ANALISA!$AA19, statement!$A:$A,D$6)</f>
        <v>0</v>
      </c>
      <c r="E21" s="118">
        <f>SUMIFS(statement!$J:$J,statement!$K:$K,ANALISA!$AA19, statement!$A:$A,E$6)</f>
        <v>0</v>
      </c>
      <c r="F21" s="118">
        <f>SUMIFS(statement!$J:$J,statement!$K:$K,ANALISA!$AA19, statement!$A:$A,F$6)</f>
        <v>0</v>
      </c>
      <c r="G21" s="118">
        <f>SUMIFS(statement!$J:$J,statement!$K:$K,ANALISA!$AA19, statement!$A:$A,G$6)</f>
        <v>0</v>
      </c>
      <c r="H21" s="118">
        <f>SUMIFS(statement!$J:$J,statement!$K:$K,ANALISA!$AA19, statement!$A:$A,H$6)</f>
        <v>0</v>
      </c>
      <c r="I21" s="118">
        <f>SUMIFS(statement!$J:$J,statement!$K:$K,ANALISA!$AA19, statement!$A:$A,I$6)</f>
        <v>0</v>
      </c>
      <c r="J21" s="118">
        <f>SUMIFS(statement!$J:$J,statement!$K:$K,ANALISA!$AA19, statement!$A:$A,J$6)</f>
        <v>0</v>
      </c>
      <c r="K21" s="118">
        <f>SUMIFS(statement!$J:$J,statement!$K:$K,ANALISA!$AA19, statement!$A:$A,K$6)</f>
        <v>0</v>
      </c>
      <c r="L21" s="118">
        <f>SUMIFS(statement!$J:$J,statement!$K:$K,ANALISA!$AA19, statement!$A:$A,L$6)</f>
        <v>0</v>
      </c>
      <c r="M21" s="118">
        <f>SUMIFS(statement!$J:$J,statement!$K:$K,ANALISA!$AA19, statement!$A:$A,M$6)</f>
        <v>0</v>
      </c>
      <c r="N21" s="118">
        <f>SUMIFS(statement!$J:$J,statement!$K:$K,ANALISA!$AA19, statement!$A:$A,N$6)</f>
        <v>0</v>
      </c>
      <c r="O21" s="118">
        <f>SUMIFS(statement!$J:$J,statement!$K:$K,ANALISA!$AA19, statement!$A:$A,O$6)</f>
        <v>0</v>
      </c>
      <c r="P21" s="118">
        <f>SUMIFS(statement!$J:$J,statement!$K:$K,ANALISA!$AA19, statement!$A:$A,P$6)</f>
        <v>0</v>
      </c>
      <c r="Q21" s="118">
        <f>SUMIFS(statement!$J:$J,statement!$K:$K,ANALISA!$AA19, statement!$A:$A,Q$6)</f>
        <v>0</v>
      </c>
      <c r="R21" s="118">
        <f>SUMIFS(statement!$J:$J,statement!$K:$K,ANALISA!$AA19, statement!$A:$A,R$6)</f>
        <v>0</v>
      </c>
      <c r="S21" s="118">
        <f>SUMIFS(statement!$J:$J,statement!$K:$K,ANALISA!$AA19, statement!$A:$A,S$6)</f>
        <v>0</v>
      </c>
      <c r="T21" s="118">
        <f>SUMIFS(statement!$J:$J,statement!$K:$K,ANALISA!$AA19, statement!$A:$A,T$6)</f>
        <v>0</v>
      </c>
      <c r="U21" s="118">
        <f>SUMIFS(statement!$J:$J,statement!$K:$K,ANALISA!$AA19, statement!$A:$A,U$6)</f>
        <v>0</v>
      </c>
      <c r="V21" s="118">
        <f>SUMIFS(statement!$J:$J,statement!$K:$K,ANALISA!$AA19, statement!$A:$A,V$6)</f>
        <v>0</v>
      </c>
      <c r="W21" s="118">
        <f>SUMIFS(statement!$J:$J,statement!$K:$K,ANALISA!$AA19, statement!$A:$A,W$6)</f>
        <v>0</v>
      </c>
      <c r="X21" s="118">
        <f>SUMIFS(statement!$J:$J,statement!$K:$K,ANALISA!$AA19, statement!$A:$A,X$6)</f>
        <v>0</v>
      </c>
      <c r="Y21" s="118">
        <f>SUMIFS(statement!$J:$J,statement!$K:$K,ANALISA!$AA19, statement!$A:$A,Y$6)</f>
        <v>0</v>
      </c>
      <c r="Z21" s="118">
        <f>SUMIFS(statement!$J:$J,statement!$K:$K,ANALISA!$AA19, statement!$A:$A,Z$6)</f>
        <v>0</v>
      </c>
      <c r="AA21" s="118">
        <f>SUMIFS(statement!$J:$J,statement!$K:$K,ANALISA!$AA19, statement!$A:$A,AA$6)</f>
        <v>0</v>
      </c>
      <c r="AB21" s="118">
        <f>SUMIFS(statement!$J:$J,statement!$K:$K,ANALISA!$AA19, statement!$A:$A,AB$6)</f>
        <v>0</v>
      </c>
      <c r="AC21" s="118">
        <f>SUMIFS(statement!$J:$J,statement!$K:$K,ANALISA!$AA19, statement!$A:$A,AC$6)</f>
        <v>0</v>
      </c>
      <c r="AD21" s="118">
        <f>SUMIFS(statement!$J:$J,statement!$K:$K,ANALISA!$AA19, statement!$A:$A,AD$6)</f>
        <v>0</v>
      </c>
      <c r="AE21" s="118">
        <f>SUMIFS(statement!$J:$J,statement!$K:$K,ANALISA!$AA19, statement!$A:$A,AE$6)</f>
        <v>0</v>
      </c>
      <c r="AF21" s="118">
        <f>SUMIFS(statement!$J:$J,statement!$K:$K,ANALISA!$AA19, statement!$A:$A,AF$6)</f>
        <v>0</v>
      </c>
      <c r="AG21" s="118">
        <f>SUMIFS(statement!$J:$J,statement!$K:$K,ANALISA!$AA19, statement!$A:$A,AG$6)</f>
        <v>0</v>
      </c>
      <c r="AH21" s="118">
        <f>SUMIFS(statement!$J:$J,statement!$K:$K,ANALISA!$AA19, statement!$A:$A,AH$6)</f>
        <v>0</v>
      </c>
      <c r="AI21" s="118">
        <f>SUMIFS(statement!$J:$J,statement!$K:$K,ANALISA!$AA19, statement!$A:$A,AI$6)</f>
        <v>0</v>
      </c>
      <c r="AJ21" s="124">
        <f>ANALISA!AB19</f>
        <v>0</v>
      </c>
      <c r="AK21" s="125">
        <f t="shared" si="0"/>
        <v>0</v>
      </c>
      <c r="AL21" s="126" t="str">
        <f>IF(SUMIF(statement!$K:$K,ANALISA!AA19,statement!$J:$J)=AK21,"MATCH","UNMATCH")</f>
        <v>MATCH</v>
      </c>
      <c r="AM21" s="104">
        <f>AK21-ANALISA!R19</f>
        <v>0</v>
      </c>
      <c r="AN21" s="104"/>
      <c r="AO21" s="104"/>
      <c r="AP21" s="97"/>
      <c r="AR21" s="127"/>
      <c r="AS21" s="104"/>
      <c r="AT21" s="127"/>
      <c r="AU21" s="128"/>
      <c r="AV21" s="97"/>
      <c r="AW21" s="97"/>
      <c r="AX21" s="129"/>
      <c r="AY21" s="130"/>
      <c r="BA21" s="97"/>
      <c r="BB21" s="98"/>
      <c r="BC21" s="97"/>
      <c r="BE21" s="97"/>
      <c r="BF21" s="97"/>
      <c r="BG21" s="97"/>
      <c r="BI21" s="130"/>
      <c r="BJ21" s="130"/>
    </row>
    <row r="22" spans="2:63" ht="19.5" customHeight="1" x14ac:dyDescent="0.3">
      <c r="B22" s="123">
        <f>ANALISA!C20</f>
        <v>46278</v>
      </c>
      <c r="C22" s="118">
        <f>SUMIFS(statement!$J:$J,statement!$K:$K,ANALISA!$AA20, statement!$A:$A,C$6)</f>
        <v>0</v>
      </c>
      <c r="D22" s="118">
        <f>SUMIFS(statement!$J:$J,statement!$K:$K,ANALISA!$AA20, statement!$A:$A,D$6)</f>
        <v>0</v>
      </c>
      <c r="E22" s="118">
        <f>SUMIFS(statement!$J:$J,statement!$K:$K,ANALISA!$AA20, statement!$A:$A,E$6)</f>
        <v>0</v>
      </c>
      <c r="F22" s="118">
        <f>SUMIFS(statement!$J:$J,statement!$K:$K,ANALISA!$AA20, statement!$A:$A,F$6)</f>
        <v>0</v>
      </c>
      <c r="G22" s="118">
        <f>SUMIFS(statement!$J:$J,statement!$K:$K,ANALISA!$AA20, statement!$A:$A,G$6)</f>
        <v>0</v>
      </c>
      <c r="H22" s="118">
        <f>SUMIFS(statement!$J:$J,statement!$K:$K,ANALISA!$AA20, statement!$A:$A,H$6)</f>
        <v>0</v>
      </c>
      <c r="I22" s="118">
        <f>SUMIFS(statement!$J:$J,statement!$K:$K,ANALISA!$AA20, statement!$A:$A,I$6)</f>
        <v>0</v>
      </c>
      <c r="J22" s="118">
        <f>SUMIFS(statement!$J:$J,statement!$K:$K,ANALISA!$AA20, statement!$A:$A,J$6)</f>
        <v>0</v>
      </c>
      <c r="K22" s="118">
        <f>SUMIFS(statement!$J:$J,statement!$K:$K,ANALISA!$AA20, statement!$A:$A,K$6)</f>
        <v>0</v>
      </c>
      <c r="L22" s="118">
        <f>SUMIFS(statement!$J:$J,statement!$K:$K,ANALISA!$AA20, statement!$A:$A,L$6)</f>
        <v>0</v>
      </c>
      <c r="M22" s="118">
        <f>SUMIFS(statement!$J:$J,statement!$K:$K,ANALISA!$AA20, statement!$A:$A,M$6)</f>
        <v>0</v>
      </c>
      <c r="N22" s="118">
        <f>SUMIFS(statement!$J:$J,statement!$K:$K,ANALISA!$AA20, statement!$A:$A,N$6)</f>
        <v>0</v>
      </c>
      <c r="O22" s="118">
        <f>SUMIFS(statement!$J:$J,statement!$K:$K,ANALISA!$AA20, statement!$A:$A,O$6)</f>
        <v>0</v>
      </c>
      <c r="P22" s="118">
        <f>SUMIFS(statement!$J:$J,statement!$K:$K,ANALISA!$AA20, statement!$A:$A,P$6)</f>
        <v>0</v>
      </c>
      <c r="Q22" s="118">
        <f>SUMIFS(statement!$J:$J,statement!$K:$K,ANALISA!$AA20, statement!$A:$A,Q$6)</f>
        <v>0</v>
      </c>
      <c r="R22" s="118">
        <f>SUMIFS(statement!$J:$J,statement!$K:$K,ANALISA!$AA20, statement!$A:$A,R$6)</f>
        <v>0</v>
      </c>
      <c r="S22" s="118">
        <f>SUMIFS(statement!$J:$J,statement!$K:$K,ANALISA!$AA20, statement!$A:$A,S$6)</f>
        <v>0</v>
      </c>
      <c r="T22" s="118">
        <f>SUMIFS(statement!$J:$J,statement!$K:$K,ANALISA!$AA20, statement!$A:$A,T$6)</f>
        <v>0</v>
      </c>
      <c r="U22" s="118">
        <f>SUMIFS(statement!$J:$J,statement!$K:$K,ANALISA!$AA20, statement!$A:$A,U$6)</f>
        <v>0</v>
      </c>
      <c r="V22" s="118">
        <f>SUMIFS(statement!$J:$J,statement!$K:$K,ANALISA!$AA20, statement!$A:$A,V$6)</f>
        <v>0</v>
      </c>
      <c r="W22" s="118">
        <f>SUMIFS(statement!$J:$J,statement!$K:$K,ANALISA!$AA20, statement!$A:$A,W$6)</f>
        <v>0</v>
      </c>
      <c r="X22" s="118">
        <f>SUMIFS(statement!$J:$J,statement!$K:$K,ANALISA!$AA20, statement!$A:$A,X$6)</f>
        <v>0</v>
      </c>
      <c r="Y22" s="118">
        <f>SUMIFS(statement!$J:$J,statement!$K:$K,ANALISA!$AA20, statement!$A:$A,Y$6)</f>
        <v>0</v>
      </c>
      <c r="Z22" s="118">
        <f>SUMIFS(statement!$J:$J,statement!$K:$K,ANALISA!$AA20, statement!$A:$A,Z$6)</f>
        <v>0</v>
      </c>
      <c r="AA22" s="118">
        <f>SUMIFS(statement!$J:$J,statement!$K:$K,ANALISA!$AA20, statement!$A:$A,AA$6)</f>
        <v>0</v>
      </c>
      <c r="AB22" s="118">
        <f>SUMIFS(statement!$J:$J,statement!$K:$K,ANALISA!$AA20, statement!$A:$A,AB$6)</f>
        <v>0</v>
      </c>
      <c r="AC22" s="118">
        <f>SUMIFS(statement!$J:$J,statement!$K:$K,ANALISA!$AA20, statement!$A:$A,AC$6)</f>
        <v>0</v>
      </c>
      <c r="AD22" s="118">
        <f>SUMIFS(statement!$J:$J,statement!$K:$K,ANALISA!$AA20, statement!$A:$A,AD$6)</f>
        <v>0</v>
      </c>
      <c r="AE22" s="118">
        <f>SUMIFS(statement!$J:$J,statement!$K:$K,ANALISA!$AA20, statement!$A:$A,AE$6)</f>
        <v>0</v>
      </c>
      <c r="AF22" s="118">
        <f>SUMIFS(statement!$J:$J,statement!$K:$K,ANALISA!$AA20, statement!$A:$A,AF$6)</f>
        <v>0</v>
      </c>
      <c r="AG22" s="118">
        <f>SUMIFS(statement!$J:$J,statement!$K:$K,ANALISA!$AA20, statement!$A:$A,AG$6)</f>
        <v>0</v>
      </c>
      <c r="AH22" s="118">
        <f>SUMIFS(statement!$J:$J,statement!$K:$K,ANALISA!$AA20, statement!$A:$A,AH$6)</f>
        <v>0</v>
      </c>
      <c r="AI22" s="118">
        <f>SUMIFS(statement!$J:$J,statement!$K:$K,ANALISA!$AA20, statement!$A:$A,AI$6)</f>
        <v>0</v>
      </c>
      <c r="AJ22" s="124">
        <f>ANALISA!AB20</f>
        <v>0</v>
      </c>
      <c r="AK22" s="125">
        <f t="shared" si="0"/>
        <v>0</v>
      </c>
      <c r="AL22" s="126" t="str">
        <f>IF(SUMIF(statement!$K:$K,ANALISA!AA20,statement!$J:$J)=AK22,"MATCH","UNMATCH")</f>
        <v>MATCH</v>
      </c>
      <c r="AM22" s="104">
        <f>AK22-ANALISA!R20</f>
        <v>0</v>
      </c>
      <c r="AN22" s="104"/>
      <c r="AO22" s="104"/>
      <c r="AP22" s="97"/>
      <c r="AR22" s="127"/>
      <c r="AS22" s="104"/>
      <c r="AT22" s="127"/>
      <c r="AU22" s="128"/>
      <c r="AV22" s="97"/>
      <c r="AW22" s="97"/>
      <c r="AX22" s="129"/>
      <c r="AY22" s="130"/>
      <c r="BA22" s="97"/>
      <c r="BB22" s="98"/>
      <c r="BC22" s="97"/>
      <c r="BE22" s="97"/>
      <c r="BF22" s="97"/>
      <c r="BG22" s="97"/>
      <c r="BI22" s="130"/>
      <c r="BJ22" s="130"/>
    </row>
    <row r="23" spans="2:63" s="96" customFormat="1" ht="19.5" customHeight="1" x14ac:dyDescent="0.3">
      <c r="B23" s="123">
        <f>ANALISA!C21</f>
        <v>46279</v>
      </c>
      <c r="C23" s="118">
        <f>SUMIFS(statement!$J:$J,statement!$K:$K,ANALISA!$AA21, statement!$A:$A,C$6)</f>
        <v>0</v>
      </c>
      <c r="D23" s="118">
        <f>SUMIFS(statement!$J:$J,statement!$K:$K,ANALISA!$AA21, statement!$A:$A,D$6)</f>
        <v>0</v>
      </c>
      <c r="E23" s="118">
        <f>SUMIFS(statement!$J:$J,statement!$K:$K,ANALISA!$AA21, statement!$A:$A,E$6)</f>
        <v>0</v>
      </c>
      <c r="F23" s="118">
        <f>SUMIFS(statement!$J:$J,statement!$K:$K,ANALISA!$AA21, statement!$A:$A,F$6)</f>
        <v>0</v>
      </c>
      <c r="G23" s="118">
        <f>SUMIFS(statement!$J:$J,statement!$K:$K,ANALISA!$AA21, statement!$A:$A,G$6)</f>
        <v>0</v>
      </c>
      <c r="H23" s="118">
        <f>SUMIFS(statement!$J:$J,statement!$K:$K,ANALISA!$AA21, statement!$A:$A,H$6)</f>
        <v>0</v>
      </c>
      <c r="I23" s="118">
        <f>SUMIFS(statement!$J:$J,statement!$K:$K,ANALISA!$AA21, statement!$A:$A,I$6)</f>
        <v>0</v>
      </c>
      <c r="J23" s="118">
        <f>SUMIFS(statement!$J:$J,statement!$K:$K,ANALISA!$AA21, statement!$A:$A,J$6)</f>
        <v>0</v>
      </c>
      <c r="K23" s="118">
        <f>SUMIFS(statement!$J:$J,statement!$K:$K,ANALISA!$AA21, statement!$A:$A,K$6)</f>
        <v>0</v>
      </c>
      <c r="L23" s="118">
        <f>SUMIFS(statement!$J:$J,statement!$K:$K,ANALISA!$AA21, statement!$A:$A,L$6)</f>
        <v>0</v>
      </c>
      <c r="M23" s="118">
        <f>SUMIFS(statement!$J:$J,statement!$K:$K,ANALISA!$AA21, statement!$A:$A,M$6)</f>
        <v>0</v>
      </c>
      <c r="N23" s="118">
        <f>SUMIFS(statement!$J:$J,statement!$K:$K,ANALISA!$AA21, statement!$A:$A,N$6)</f>
        <v>0</v>
      </c>
      <c r="O23" s="118">
        <f>SUMIFS(statement!$J:$J,statement!$K:$K,ANALISA!$AA21, statement!$A:$A,O$6)</f>
        <v>0</v>
      </c>
      <c r="P23" s="118">
        <f>SUMIFS(statement!$J:$J,statement!$K:$K,ANALISA!$AA21, statement!$A:$A,P$6)</f>
        <v>0</v>
      </c>
      <c r="Q23" s="118">
        <f>SUMIFS(statement!$J:$J,statement!$K:$K,ANALISA!$AA21, statement!$A:$A,Q$6)</f>
        <v>0</v>
      </c>
      <c r="R23" s="118">
        <f>SUMIFS(statement!$J:$J,statement!$K:$K,ANALISA!$AA21, statement!$A:$A,R$6)</f>
        <v>0</v>
      </c>
      <c r="S23" s="118">
        <f>SUMIFS(statement!$J:$J,statement!$K:$K,ANALISA!$AA21, statement!$A:$A,S$6)</f>
        <v>0</v>
      </c>
      <c r="T23" s="118">
        <f>SUMIFS(statement!$J:$J,statement!$K:$K,ANALISA!$AA21, statement!$A:$A,T$6)</f>
        <v>0</v>
      </c>
      <c r="U23" s="118">
        <f>SUMIFS(statement!$J:$J,statement!$K:$K,ANALISA!$AA21, statement!$A:$A,U$6)</f>
        <v>0</v>
      </c>
      <c r="V23" s="118">
        <f>SUMIFS(statement!$J:$J,statement!$K:$K,ANALISA!$AA21, statement!$A:$A,V$6)</f>
        <v>0</v>
      </c>
      <c r="W23" s="118">
        <f>SUMIFS(statement!$J:$J,statement!$K:$K,ANALISA!$AA21, statement!$A:$A,W$6)</f>
        <v>0</v>
      </c>
      <c r="X23" s="118">
        <f>SUMIFS(statement!$J:$J,statement!$K:$K,ANALISA!$AA21, statement!$A:$A,X$6)</f>
        <v>0</v>
      </c>
      <c r="Y23" s="118">
        <f>SUMIFS(statement!$J:$J,statement!$K:$K,ANALISA!$AA21, statement!$A:$A,Y$6)</f>
        <v>0</v>
      </c>
      <c r="Z23" s="118">
        <f>SUMIFS(statement!$J:$J,statement!$K:$K,ANALISA!$AA21, statement!$A:$A,Z$6)</f>
        <v>0</v>
      </c>
      <c r="AA23" s="118">
        <f>SUMIFS(statement!$J:$J,statement!$K:$K,ANALISA!$AA21, statement!$A:$A,AA$6)</f>
        <v>0</v>
      </c>
      <c r="AB23" s="118">
        <f>SUMIFS(statement!$J:$J,statement!$K:$K,ANALISA!$AA21, statement!$A:$A,AB$6)</f>
        <v>0</v>
      </c>
      <c r="AC23" s="118">
        <f>SUMIFS(statement!$J:$J,statement!$K:$K,ANALISA!$AA21, statement!$A:$A,AC$6)</f>
        <v>0</v>
      </c>
      <c r="AD23" s="118">
        <f>SUMIFS(statement!$J:$J,statement!$K:$K,ANALISA!$AA21, statement!$A:$A,AD$6)</f>
        <v>0</v>
      </c>
      <c r="AE23" s="118">
        <f>SUMIFS(statement!$J:$J,statement!$K:$K,ANALISA!$AA21, statement!$A:$A,AE$6)</f>
        <v>0</v>
      </c>
      <c r="AF23" s="118">
        <f>SUMIFS(statement!$J:$J,statement!$K:$K,ANALISA!$AA21, statement!$A:$A,AF$6)</f>
        <v>0</v>
      </c>
      <c r="AG23" s="118">
        <f>SUMIFS(statement!$J:$J,statement!$K:$K,ANALISA!$AA21, statement!$A:$A,AG$6)</f>
        <v>0</v>
      </c>
      <c r="AH23" s="118">
        <f>SUMIFS(statement!$J:$J,statement!$K:$K,ANALISA!$AA21, statement!$A:$A,AH$6)</f>
        <v>0</v>
      </c>
      <c r="AI23" s="118">
        <f>SUMIFS(statement!$J:$J,statement!$K:$K,ANALISA!$AA21, statement!$A:$A,AI$6)</f>
        <v>0</v>
      </c>
      <c r="AJ23" s="124">
        <f>ANALISA!AB21</f>
        <v>0</v>
      </c>
      <c r="AK23" s="125">
        <f t="shared" si="0"/>
        <v>0</v>
      </c>
      <c r="AL23" s="126" t="str">
        <f>IF(SUMIF(statement!$K:$K,ANALISA!AA21,statement!$J:$J)=AK23,"MATCH","UNMATCH")</f>
        <v>MATCH</v>
      </c>
      <c r="AM23" s="104">
        <f>AK23-ANALISA!R21</f>
        <v>0</v>
      </c>
      <c r="AN23" s="104"/>
      <c r="AO23" s="104"/>
      <c r="AP23" s="97"/>
      <c r="AQ23" s="97"/>
      <c r="AR23" s="127"/>
      <c r="AS23" s="104"/>
      <c r="AT23" s="127"/>
      <c r="AU23" s="128"/>
      <c r="AV23" s="97"/>
      <c r="AW23" s="97"/>
      <c r="AX23" s="129"/>
      <c r="AY23" s="130"/>
      <c r="BA23" s="97"/>
      <c r="BB23" s="98"/>
      <c r="BC23" s="97"/>
      <c r="BE23" s="97"/>
      <c r="BF23" s="97"/>
      <c r="BG23" s="97"/>
      <c r="BI23" s="130"/>
      <c r="BJ23" s="130"/>
    </row>
    <row r="24" spans="2:63" s="96" customFormat="1" ht="19.5" customHeight="1" x14ac:dyDescent="0.3">
      <c r="B24" s="123">
        <f>ANALISA!C22</f>
        <v>46280</v>
      </c>
      <c r="C24" s="118">
        <f>SUMIFS(statement!$J:$J,statement!$K:$K,ANALISA!$AA22, statement!$A:$A,C$6)</f>
        <v>0</v>
      </c>
      <c r="D24" s="118">
        <f>SUMIFS(statement!$J:$J,statement!$K:$K,ANALISA!$AA22, statement!$A:$A,D$6)</f>
        <v>0</v>
      </c>
      <c r="E24" s="118">
        <f>SUMIFS(statement!$J:$J,statement!$K:$K,ANALISA!$AA22, statement!$A:$A,E$6)</f>
        <v>0</v>
      </c>
      <c r="F24" s="118">
        <f>SUMIFS(statement!$J:$J,statement!$K:$K,ANALISA!$AA22, statement!$A:$A,F$6)</f>
        <v>0</v>
      </c>
      <c r="G24" s="118">
        <f>SUMIFS(statement!$J:$J,statement!$K:$K,ANALISA!$AA22, statement!$A:$A,G$6)</f>
        <v>0</v>
      </c>
      <c r="H24" s="118">
        <f>SUMIFS(statement!$J:$J,statement!$K:$K,ANALISA!$AA22, statement!$A:$A,H$6)</f>
        <v>0</v>
      </c>
      <c r="I24" s="118">
        <f>SUMIFS(statement!$J:$J,statement!$K:$K,ANALISA!$AA22, statement!$A:$A,I$6)</f>
        <v>0</v>
      </c>
      <c r="J24" s="118">
        <f>SUMIFS(statement!$J:$J,statement!$K:$K,ANALISA!$AA22, statement!$A:$A,J$6)</f>
        <v>0</v>
      </c>
      <c r="K24" s="118">
        <f>SUMIFS(statement!$J:$J,statement!$K:$K,ANALISA!$AA22, statement!$A:$A,K$6)</f>
        <v>0</v>
      </c>
      <c r="L24" s="118">
        <f>SUMIFS(statement!$J:$J,statement!$K:$K,ANALISA!$AA22, statement!$A:$A,L$6)</f>
        <v>0</v>
      </c>
      <c r="M24" s="118">
        <f>SUMIFS(statement!$J:$J,statement!$K:$K,ANALISA!$AA22, statement!$A:$A,M$6)</f>
        <v>0</v>
      </c>
      <c r="N24" s="118">
        <f>SUMIFS(statement!$J:$J,statement!$K:$K,ANALISA!$AA22, statement!$A:$A,N$6)</f>
        <v>0</v>
      </c>
      <c r="O24" s="118">
        <f>SUMIFS(statement!$J:$J,statement!$K:$K,ANALISA!$AA22, statement!$A:$A,O$6)</f>
        <v>0</v>
      </c>
      <c r="P24" s="118">
        <f>SUMIFS(statement!$J:$J,statement!$K:$K,ANALISA!$AA22, statement!$A:$A,P$6)</f>
        <v>0</v>
      </c>
      <c r="Q24" s="118">
        <f>SUMIFS(statement!$J:$J,statement!$K:$K,ANALISA!$AA22, statement!$A:$A,Q$6)</f>
        <v>0</v>
      </c>
      <c r="R24" s="118">
        <f>SUMIFS(statement!$J:$J,statement!$K:$K,ANALISA!$AA22, statement!$A:$A,R$6)</f>
        <v>0</v>
      </c>
      <c r="S24" s="118">
        <f>SUMIFS(statement!$J:$J,statement!$K:$K,ANALISA!$AA22, statement!$A:$A,S$6)</f>
        <v>0</v>
      </c>
      <c r="T24" s="118">
        <f>SUMIFS(statement!$J:$J,statement!$K:$K,ANALISA!$AA22, statement!$A:$A,T$6)</f>
        <v>0</v>
      </c>
      <c r="U24" s="118">
        <f>SUMIFS(statement!$J:$J,statement!$K:$K,ANALISA!$AA22, statement!$A:$A,U$6)</f>
        <v>0</v>
      </c>
      <c r="V24" s="118">
        <f>SUMIFS(statement!$J:$J,statement!$K:$K,ANALISA!$AA22, statement!$A:$A,V$6)</f>
        <v>0</v>
      </c>
      <c r="W24" s="118">
        <f>SUMIFS(statement!$J:$J,statement!$K:$K,ANALISA!$AA22, statement!$A:$A,W$6)</f>
        <v>0</v>
      </c>
      <c r="X24" s="118">
        <f>SUMIFS(statement!$J:$J,statement!$K:$K,ANALISA!$AA22, statement!$A:$A,X$6)</f>
        <v>0</v>
      </c>
      <c r="Y24" s="118">
        <f>SUMIFS(statement!$J:$J,statement!$K:$K,ANALISA!$AA22, statement!$A:$A,Y$6)</f>
        <v>0</v>
      </c>
      <c r="Z24" s="118">
        <f>SUMIFS(statement!$J:$J,statement!$K:$K,ANALISA!$AA22, statement!$A:$A,Z$6)</f>
        <v>0</v>
      </c>
      <c r="AA24" s="118">
        <f>SUMIFS(statement!$J:$J,statement!$K:$K,ANALISA!$AA22, statement!$A:$A,AA$6)</f>
        <v>0</v>
      </c>
      <c r="AB24" s="118">
        <f>SUMIFS(statement!$J:$J,statement!$K:$K,ANALISA!$AA22, statement!$A:$A,AB$6)</f>
        <v>0</v>
      </c>
      <c r="AC24" s="118">
        <f>SUMIFS(statement!$J:$J,statement!$K:$K,ANALISA!$AA22, statement!$A:$A,AC$6)</f>
        <v>0</v>
      </c>
      <c r="AD24" s="118">
        <f>SUMIFS(statement!$J:$J,statement!$K:$K,ANALISA!$AA22, statement!$A:$A,AD$6)</f>
        <v>0</v>
      </c>
      <c r="AE24" s="118">
        <f>SUMIFS(statement!$J:$J,statement!$K:$K,ANALISA!$AA22, statement!$A:$A,AE$6)</f>
        <v>0</v>
      </c>
      <c r="AF24" s="118">
        <f>SUMIFS(statement!$J:$J,statement!$K:$K,ANALISA!$AA22, statement!$A:$A,AF$6)</f>
        <v>0</v>
      </c>
      <c r="AG24" s="118">
        <f>SUMIFS(statement!$J:$J,statement!$K:$K,ANALISA!$AA22, statement!$A:$A,AG$6)</f>
        <v>0</v>
      </c>
      <c r="AH24" s="118">
        <f>SUMIFS(statement!$J:$J,statement!$K:$K,ANALISA!$AA22, statement!$A:$A,AH$6)</f>
        <v>0</v>
      </c>
      <c r="AI24" s="118">
        <f>SUMIFS(statement!$J:$J,statement!$K:$K,ANALISA!$AA22, statement!$A:$A,AI$6)</f>
        <v>0</v>
      </c>
      <c r="AJ24" s="124">
        <f>ANALISA!AB22</f>
        <v>0</v>
      </c>
      <c r="AK24" s="125">
        <f t="shared" si="0"/>
        <v>0</v>
      </c>
      <c r="AL24" s="126" t="str">
        <f>IF(SUMIF(statement!$K:$K,ANALISA!AA22,statement!$J:$J)=AK24,"MATCH","UNMATCH")</f>
        <v>MATCH</v>
      </c>
      <c r="AM24" s="104">
        <f>AK24-ANALISA!R22</f>
        <v>0</v>
      </c>
      <c r="AN24" s="104"/>
      <c r="AO24" s="104"/>
      <c r="AP24" s="97"/>
      <c r="AQ24" s="97"/>
      <c r="AR24" s="127"/>
      <c r="AS24" s="104"/>
      <c r="AT24" s="127"/>
      <c r="AU24" s="128"/>
      <c r="AV24" s="97"/>
      <c r="AW24" s="97"/>
      <c r="AX24" s="129"/>
      <c r="AY24" s="130"/>
      <c r="BA24" s="97"/>
      <c r="BB24" s="98"/>
      <c r="BC24" s="97"/>
      <c r="BE24" s="97"/>
      <c r="BF24" s="97"/>
      <c r="BG24" s="97"/>
      <c r="BI24" s="130"/>
      <c r="BJ24" s="130"/>
    </row>
    <row r="25" spans="2:63" ht="19.5" customHeight="1" x14ac:dyDescent="0.3">
      <c r="B25" s="123">
        <f>ANALISA!C23</f>
        <v>46281</v>
      </c>
      <c r="C25" s="118">
        <f>SUMIFS(statement!$J:$J,statement!$K:$K,ANALISA!$AA23, statement!$A:$A,C$6)</f>
        <v>0</v>
      </c>
      <c r="D25" s="118">
        <f>SUMIFS(statement!$J:$J,statement!$K:$K,ANALISA!$AA23, statement!$A:$A,D$6)</f>
        <v>0</v>
      </c>
      <c r="E25" s="118">
        <f>SUMIFS(statement!$J:$J,statement!$K:$K,ANALISA!$AA23, statement!$A:$A,E$6)</f>
        <v>0</v>
      </c>
      <c r="F25" s="118">
        <f>SUMIFS(statement!$J:$J,statement!$K:$K,ANALISA!$AA23, statement!$A:$A,F$6)</f>
        <v>0</v>
      </c>
      <c r="G25" s="118">
        <f>SUMIFS(statement!$J:$J,statement!$K:$K,ANALISA!$AA23, statement!$A:$A,G$6)</f>
        <v>0</v>
      </c>
      <c r="H25" s="118">
        <f>SUMIFS(statement!$J:$J,statement!$K:$K,ANALISA!$AA23, statement!$A:$A,H$6)</f>
        <v>0</v>
      </c>
      <c r="I25" s="118">
        <f>SUMIFS(statement!$J:$J,statement!$K:$K,ANALISA!$AA23, statement!$A:$A,I$6)</f>
        <v>0</v>
      </c>
      <c r="J25" s="118">
        <f>SUMIFS(statement!$J:$J,statement!$K:$K,ANALISA!$AA23, statement!$A:$A,J$6)</f>
        <v>0</v>
      </c>
      <c r="K25" s="118">
        <f>SUMIFS(statement!$J:$J,statement!$K:$K,ANALISA!$AA23, statement!$A:$A,K$6)</f>
        <v>0</v>
      </c>
      <c r="L25" s="118">
        <f>SUMIFS(statement!$J:$J,statement!$K:$K,ANALISA!$AA23, statement!$A:$A,L$6)</f>
        <v>0</v>
      </c>
      <c r="M25" s="118">
        <f>SUMIFS(statement!$J:$J,statement!$K:$K,ANALISA!$AA23, statement!$A:$A,M$6)</f>
        <v>0</v>
      </c>
      <c r="N25" s="118">
        <f>SUMIFS(statement!$J:$J,statement!$K:$K,ANALISA!$AA23, statement!$A:$A,N$6)</f>
        <v>0</v>
      </c>
      <c r="O25" s="118">
        <f>SUMIFS(statement!$J:$J,statement!$K:$K,ANALISA!$AA23, statement!$A:$A,O$6)</f>
        <v>0</v>
      </c>
      <c r="P25" s="118">
        <f>SUMIFS(statement!$J:$J,statement!$K:$K,ANALISA!$AA23, statement!$A:$A,P$6)</f>
        <v>0</v>
      </c>
      <c r="Q25" s="118">
        <f>SUMIFS(statement!$J:$J,statement!$K:$K,ANALISA!$AA23, statement!$A:$A,Q$6)</f>
        <v>0</v>
      </c>
      <c r="R25" s="118">
        <f>SUMIFS(statement!$J:$J,statement!$K:$K,ANALISA!$AA23, statement!$A:$A,R$6)</f>
        <v>0</v>
      </c>
      <c r="S25" s="118">
        <f>SUMIFS(statement!$J:$J,statement!$K:$K,ANALISA!$AA23, statement!$A:$A,S$6)</f>
        <v>0</v>
      </c>
      <c r="T25" s="118">
        <f>SUMIFS(statement!$J:$J,statement!$K:$K,ANALISA!$AA23, statement!$A:$A,T$6)</f>
        <v>0</v>
      </c>
      <c r="U25" s="118">
        <f>SUMIFS(statement!$J:$J,statement!$K:$K,ANALISA!$AA23, statement!$A:$A,U$6)</f>
        <v>0</v>
      </c>
      <c r="V25" s="118">
        <f>SUMIFS(statement!$J:$J,statement!$K:$K,ANALISA!$AA23, statement!$A:$A,V$6)</f>
        <v>0</v>
      </c>
      <c r="W25" s="118">
        <f>SUMIFS(statement!$J:$J,statement!$K:$K,ANALISA!$AA23, statement!$A:$A,W$6)</f>
        <v>0</v>
      </c>
      <c r="X25" s="118">
        <f>SUMIFS(statement!$J:$J,statement!$K:$K,ANALISA!$AA23, statement!$A:$A,X$6)</f>
        <v>0</v>
      </c>
      <c r="Y25" s="118">
        <f>SUMIFS(statement!$J:$J,statement!$K:$K,ANALISA!$AA23, statement!$A:$A,Y$6)</f>
        <v>0</v>
      </c>
      <c r="Z25" s="118">
        <f>SUMIFS(statement!$J:$J,statement!$K:$K,ANALISA!$AA23, statement!$A:$A,Z$6)</f>
        <v>0</v>
      </c>
      <c r="AA25" s="118">
        <f>SUMIFS(statement!$J:$J,statement!$K:$K,ANALISA!$AA23, statement!$A:$A,AA$6)</f>
        <v>0</v>
      </c>
      <c r="AB25" s="118">
        <f>SUMIFS(statement!$J:$J,statement!$K:$K,ANALISA!$AA23, statement!$A:$A,AB$6)</f>
        <v>0</v>
      </c>
      <c r="AC25" s="118">
        <f>SUMIFS(statement!$J:$J,statement!$K:$K,ANALISA!$AA23, statement!$A:$A,AC$6)</f>
        <v>0</v>
      </c>
      <c r="AD25" s="118">
        <f>SUMIFS(statement!$J:$J,statement!$K:$K,ANALISA!$AA23, statement!$A:$A,AD$6)</f>
        <v>0</v>
      </c>
      <c r="AE25" s="118">
        <f>SUMIFS(statement!$J:$J,statement!$K:$K,ANALISA!$AA23, statement!$A:$A,AE$6)</f>
        <v>0</v>
      </c>
      <c r="AF25" s="118">
        <f>SUMIFS(statement!$J:$J,statement!$K:$K,ANALISA!$AA23, statement!$A:$A,AF$6)</f>
        <v>0</v>
      </c>
      <c r="AG25" s="118">
        <f>SUMIFS(statement!$J:$J,statement!$K:$K,ANALISA!$AA23, statement!$A:$A,AG$6)</f>
        <v>0</v>
      </c>
      <c r="AH25" s="118">
        <f>SUMIFS(statement!$J:$J,statement!$K:$K,ANALISA!$AA23, statement!$A:$A,AH$6)</f>
        <v>0</v>
      </c>
      <c r="AI25" s="118">
        <f>SUMIFS(statement!$J:$J,statement!$K:$K,ANALISA!$AA23, statement!$A:$A,AI$6)</f>
        <v>0</v>
      </c>
      <c r="AJ25" s="124">
        <f>ANALISA!AB23</f>
        <v>0</v>
      </c>
      <c r="AK25" s="125">
        <f t="shared" si="0"/>
        <v>0</v>
      </c>
      <c r="AL25" s="126" t="str">
        <f>IF(SUMIF(statement!$K:$K,ANALISA!AA23,statement!$J:$J)=AK25,"MATCH","UNMATCH")</f>
        <v>MATCH</v>
      </c>
      <c r="AM25" s="104">
        <f>AK25-ANALISA!R23</f>
        <v>0</v>
      </c>
      <c r="AN25" s="104"/>
      <c r="AO25" s="104"/>
      <c r="AP25" s="97"/>
      <c r="AR25" s="127"/>
      <c r="AS25" s="104"/>
      <c r="AU25" s="128"/>
      <c r="AV25" s="97"/>
      <c r="AW25" s="97"/>
      <c r="AX25" s="129"/>
      <c r="AY25" s="130"/>
      <c r="BA25" s="97"/>
      <c r="BB25" s="98"/>
      <c r="BC25" s="97"/>
      <c r="BE25" s="97"/>
      <c r="BF25" s="97"/>
      <c r="BG25" s="97"/>
      <c r="BI25" s="130"/>
      <c r="BJ25" s="130"/>
    </row>
    <row r="26" spans="2:63" ht="19.5" customHeight="1" x14ac:dyDescent="0.3">
      <c r="B26" s="123">
        <f>ANALISA!C24</f>
        <v>46282</v>
      </c>
      <c r="C26" s="118">
        <f>SUMIFS(statement!$J:$J,statement!$K:$K,ANALISA!$AA24, statement!$A:$A,C$6)</f>
        <v>0</v>
      </c>
      <c r="D26" s="118">
        <f>SUMIFS(statement!$J:$J,statement!$K:$K,ANALISA!$AA24, statement!$A:$A,D$6)</f>
        <v>0</v>
      </c>
      <c r="E26" s="118">
        <f>SUMIFS(statement!$J:$J,statement!$K:$K,ANALISA!$AA24, statement!$A:$A,E$6)</f>
        <v>0</v>
      </c>
      <c r="F26" s="118">
        <f>SUMIFS(statement!$J:$J,statement!$K:$K,ANALISA!$AA24, statement!$A:$A,F$6)</f>
        <v>0</v>
      </c>
      <c r="G26" s="118">
        <f>SUMIFS(statement!$J:$J,statement!$K:$K,ANALISA!$AA24, statement!$A:$A,G$6)</f>
        <v>0</v>
      </c>
      <c r="H26" s="118">
        <f>SUMIFS(statement!$J:$J,statement!$K:$K,ANALISA!$AA24, statement!$A:$A,H$6)</f>
        <v>0</v>
      </c>
      <c r="I26" s="118">
        <f>SUMIFS(statement!$J:$J,statement!$K:$K,ANALISA!$AA24, statement!$A:$A,I$6)</f>
        <v>0</v>
      </c>
      <c r="J26" s="118">
        <f>SUMIFS(statement!$J:$J,statement!$K:$K,ANALISA!$AA24, statement!$A:$A,J$6)</f>
        <v>0</v>
      </c>
      <c r="K26" s="118">
        <f>SUMIFS(statement!$J:$J,statement!$K:$K,ANALISA!$AA24, statement!$A:$A,K$6)</f>
        <v>0</v>
      </c>
      <c r="L26" s="118">
        <f>SUMIFS(statement!$J:$J,statement!$K:$K,ANALISA!$AA24, statement!$A:$A,L$6)</f>
        <v>0</v>
      </c>
      <c r="M26" s="118">
        <f>SUMIFS(statement!$J:$J,statement!$K:$K,ANALISA!$AA24, statement!$A:$A,M$6)</f>
        <v>0</v>
      </c>
      <c r="N26" s="118">
        <f>SUMIFS(statement!$J:$J,statement!$K:$K,ANALISA!$AA24, statement!$A:$A,N$6)</f>
        <v>0</v>
      </c>
      <c r="O26" s="118">
        <f>SUMIFS(statement!$J:$J,statement!$K:$K,ANALISA!$AA24, statement!$A:$A,O$6)</f>
        <v>0</v>
      </c>
      <c r="P26" s="118">
        <f>SUMIFS(statement!$J:$J,statement!$K:$K,ANALISA!$AA24, statement!$A:$A,P$6)</f>
        <v>0</v>
      </c>
      <c r="Q26" s="118">
        <f>SUMIFS(statement!$J:$J,statement!$K:$K,ANALISA!$AA24, statement!$A:$A,Q$6)</f>
        <v>0</v>
      </c>
      <c r="R26" s="118">
        <f>SUMIFS(statement!$J:$J,statement!$K:$K,ANALISA!$AA24, statement!$A:$A,R$6)</f>
        <v>0</v>
      </c>
      <c r="S26" s="118">
        <f>SUMIFS(statement!$J:$J,statement!$K:$K,ANALISA!$AA24, statement!$A:$A,S$6)</f>
        <v>0</v>
      </c>
      <c r="T26" s="118">
        <f>SUMIFS(statement!$J:$J,statement!$K:$K,ANALISA!$AA24, statement!$A:$A,T$6)</f>
        <v>0</v>
      </c>
      <c r="U26" s="118">
        <f>SUMIFS(statement!$J:$J,statement!$K:$K,ANALISA!$AA24, statement!$A:$A,U$6)</f>
        <v>0</v>
      </c>
      <c r="V26" s="118">
        <f>SUMIFS(statement!$J:$J,statement!$K:$K,ANALISA!$AA24, statement!$A:$A,V$6)</f>
        <v>0</v>
      </c>
      <c r="W26" s="118">
        <f>SUMIFS(statement!$J:$J,statement!$K:$K,ANALISA!$AA24, statement!$A:$A,W$6)</f>
        <v>0</v>
      </c>
      <c r="X26" s="118">
        <f>SUMIFS(statement!$J:$J,statement!$K:$K,ANALISA!$AA24, statement!$A:$A,X$6)</f>
        <v>0</v>
      </c>
      <c r="Y26" s="118">
        <f>SUMIFS(statement!$J:$J,statement!$K:$K,ANALISA!$AA24, statement!$A:$A,Y$6)</f>
        <v>0</v>
      </c>
      <c r="Z26" s="118">
        <f>SUMIFS(statement!$J:$J,statement!$K:$K,ANALISA!$AA24, statement!$A:$A,Z$6)</f>
        <v>0</v>
      </c>
      <c r="AA26" s="118">
        <f>SUMIFS(statement!$J:$J,statement!$K:$K,ANALISA!$AA24, statement!$A:$A,AA$6)</f>
        <v>0</v>
      </c>
      <c r="AB26" s="118">
        <f>SUMIFS(statement!$J:$J,statement!$K:$K,ANALISA!$AA24, statement!$A:$A,AB$6)</f>
        <v>0</v>
      </c>
      <c r="AC26" s="118">
        <f>SUMIFS(statement!$J:$J,statement!$K:$K,ANALISA!$AA24, statement!$A:$A,AC$6)</f>
        <v>0</v>
      </c>
      <c r="AD26" s="118">
        <f>SUMIFS(statement!$J:$J,statement!$K:$K,ANALISA!$AA24, statement!$A:$A,AD$6)</f>
        <v>0</v>
      </c>
      <c r="AE26" s="118">
        <f>SUMIFS(statement!$J:$J,statement!$K:$K,ANALISA!$AA24, statement!$A:$A,AE$6)</f>
        <v>0</v>
      </c>
      <c r="AF26" s="118">
        <f>SUMIFS(statement!$J:$J,statement!$K:$K,ANALISA!$AA24, statement!$A:$A,AF$6)</f>
        <v>0</v>
      </c>
      <c r="AG26" s="118">
        <f>SUMIFS(statement!$J:$J,statement!$K:$K,ANALISA!$AA24, statement!$A:$A,AG$6)</f>
        <v>0</v>
      </c>
      <c r="AH26" s="118">
        <f>SUMIFS(statement!$J:$J,statement!$K:$K,ANALISA!$AA24, statement!$A:$A,AH$6)</f>
        <v>0</v>
      </c>
      <c r="AI26" s="118">
        <f>SUMIFS(statement!$J:$J,statement!$K:$K,ANALISA!$AA24, statement!$A:$A,AI$6)</f>
        <v>0</v>
      </c>
      <c r="AJ26" s="124">
        <f>ANALISA!AB24</f>
        <v>0</v>
      </c>
      <c r="AK26" s="125">
        <f t="shared" si="0"/>
        <v>0</v>
      </c>
      <c r="AL26" s="126" t="str">
        <f>IF(SUMIF(statement!$K:$K,ANALISA!AA24,statement!$J:$J)=AK26,"MATCH","UNMATCH")</f>
        <v>MATCH</v>
      </c>
      <c r="AM26" s="104">
        <f>AK26-ANALISA!R24</f>
        <v>0</v>
      </c>
      <c r="AN26" s="104"/>
      <c r="AO26" s="104"/>
      <c r="AP26" s="97"/>
      <c r="AR26" s="127"/>
      <c r="AS26" s="104"/>
      <c r="AT26" s="127"/>
      <c r="AU26" s="128"/>
      <c r="AV26" s="97"/>
      <c r="AW26" s="97"/>
      <c r="AX26" s="129"/>
      <c r="AY26" s="130"/>
      <c r="BA26" s="97"/>
      <c r="BB26" s="98"/>
      <c r="BC26" s="97"/>
      <c r="BE26" s="97"/>
      <c r="BF26" s="97"/>
      <c r="BG26" s="97"/>
      <c r="BI26" s="130"/>
      <c r="BJ26" s="130"/>
    </row>
    <row r="27" spans="2:63" ht="19.5" customHeight="1" x14ac:dyDescent="0.3">
      <c r="B27" s="123">
        <f>ANALISA!C25</f>
        <v>46283</v>
      </c>
      <c r="C27" s="118">
        <f>SUMIFS(statement!$J:$J,statement!$K:$K,ANALISA!$AA25, statement!$A:$A,C$6)</f>
        <v>0</v>
      </c>
      <c r="D27" s="118">
        <f>SUMIFS(statement!$J:$J,statement!$K:$K,ANALISA!$AA25, statement!$A:$A,D$6)</f>
        <v>0</v>
      </c>
      <c r="E27" s="118">
        <f>SUMIFS(statement!$J:$J,statement!$K:$K,ANALISA!$AA25, statement!$A:$A,E$6)</f>
        <v>0</v>
      </c>
      <c r="F27" s="118">
        <f>SUMIFS(statement!$J:$J,statement!$K:$K,ANALISA!$AA25, statement!$A:$A,F$6)</f>
        <v>0</v>
      </c>
      <c r="G27" s="118">
        <f>SUMIFS(statement!$J:$J,statement!$K:$K,ANALISA!$AA25, statement!$A:$A,G$6)</f>
        <v>0</v>
      </c>
      <c r="H27" s="118">
        <f>SUMIFS(statement!$J:$J,statement!$K:$K,ANALISA!$AA25, statement!$A:$A,H$6)</f>
        <v>0</v>
      </c>
      <c r="I27" s="118">
        <f>SUMIFS(statement!$J:$J,statement!$K:$K,ANALISA!$AA25, statement!$A:$A,I$6)</f>
        <v>0</v>
      </c>
      <c r="J27" s="118">
        <f>SUMIFS(statement!$J:$J,statement!$K:$K,ANALISA!$AA25, statement!$A:$A,J$6)</f>
        <v>0</v>
      </c>
      <c r="K27" s="118">
        <f>SUMIFS(statement!$J:$J,statement!$K:$K,ANALISA!$AA25, statement!$A:$A,K$6)</f>
        <v>0</v>
      </c>
      <c r="L27" s="118">
        <f>SUMIFS(statement!$J:$J,statement!$K:$K,ANALISA!$AA25, statement!$A:$A,L$6)</f>
        <v>0</v>
      </c>
      <c r="M27" s="118">
        <f>SUMIFS(statement!$J:$J,statement!$K:$K,ANALISA!$AA25, statement!$A:$A,M$6)</f>
        <v>0</v>
      </c>
      <c r="N27" s="118">
        <f>SUMIFS(statement!$J:$J,statement!$K:$K,ANALISA!$AA25, statement!$A:$A,N$6)</f>
        <v>0</v>
      </c>
      <c r="O27" s="118">
        <f>SUMIFS(statement!$J:$J,statement!$K:$K,ANALISA!$AA25, statement!$A:$A,O$6)</f>
        <v>0</v>
      </c>
      <c r="P27" s="118">
        <f>SUMIFS(statement!$J:$J,statement!$K:$K,ANALISA!$AA25, statement!$A:$A,P$6)</f>
        <v>0</v>
      </c>
      <c r="Q27" s="118">
        <f>SUMIFS(statement!$J:$J,statement!$K:$K,ANALISA!$AA25, statement!$A:$A,Q$6)</f>
        <v>0</v>
      </c>
      <c r="R27" s="118">
        <f>SUMIFS(statement!$J:$J,statement!$K:$K,ANALISA!$AA25, statement!$A:$A,R$6)</f>
        <v>0</v>
      </c>
      <c r="S27" s="118">
        <f>SUMIFS(statement!$J:$J,statement!$K:$K,ANALISA!$AA25, statement!$A:$A,S$6)</f>
        <v>0</v>
      </c>
      <c r="T27" s="118">
        <f>SUMIFS(statement!$J:$J,statement!$K:$K,ANALISA!$AA25, statement!$A:$A,T$6)</f>
        <v>0</v>
      </c>
      <c r="U27" s="118">
        <f>SUMIFS(statement!$J:$J,statement!$K:$K,ANALISA!$AA25, statement!$A:$A,U$6)</f>
        <v>0</v>
      </c>
      <c r="V27" s="118">
        <f>SUMIFS(statement!$J:$J,statement!$K:$K,ANALISA!$AA25, statement!$A:$A,V$6)</f>
        <v>0</v>
      </c>
      <c r="W27" s="118">
        <f>SUMIFS(statement!$J:$J,statement!$K:$K,ANALISA!$AA25, statement!$A:$A,W$6)</f>
        <v>0</v>
      </c>
      <c r="X27" s="118">
        <f>SUMIFS(statement!$J:$J,statement!$K:$K,ANALISA!$AA25, statement!$A:$A,X$6)</f>
        <v>0</v>
      </c>
      <c r="Y27" s="118">
        <f>SUMIFS(statement!$J:$J,statement!$K:$K,ANALISA!$AA25, statement!$A:$A,Y$6)</f>
        <v>0</v>
      </c>
      <c r="Z27" s="118">
        <f>SUMIFS(statement!$J:$J,statement!$K:$K,ANALISA!$AA25, statement!$A:$A,Z$6)</f>
        <v>0</v>
      </c>
      <c r="AA27" s="118">
        <f>SUMIFS(statement!$J:$J,statement!$K:$K,ANALISA!$AA25, statement!$A:$A,AA$6)</f>
        <v>0</v>
      </c>
      <c r="AB27" s="118">
        <f>SUMIFS(statement!$J:$J,statement!$K:$K,ANALISA!$AA25, statement!$A:$A,AB$6)</f>
        <v>0</v>
      </c>
      <c r="AC27" s="118">
        <f>SUMIFS(statement!$J:$J,statement!$K:$K,ANALISA!$AA25, statement!$A:$A,AC$6)</f>
        <v>0</v>
      </c>
      <c r="AD27" s="118">
        <f>SUMIFS(statement!$J:$J,statement!$K:$K,ANALISA!$AA25, statement!$A:$A,AD$6)</f>
        <v>0</v>
      </c>
      <c r="AE27" s="118">
        <f>SUMIFS(statement!$J:$J,statement!$K:$K,ANALISA!$AA25, statement!$A:$A,AE$6)</f>
        <v>0</v>
      </c>
      <c r="AF27" s="118">
        <f>SUMIFS(statement!$J:$J,statement!$K:$K,ANALISA!$AA25, statement!$A:$A,AF$6)</f>
        <v>0</v>
      </c>
      <c r="AG27" s="118">
        <f>SUMIFS(statement!$J:$J,statement!$K:$K,ANALISA!$AA25, statement!$A:$A,AG$6)</f>
        <v>0</v>
      </c>
      <c r="AH27" s="118">
        <f>SUMIFS(statement!$J:$J,statement!$K:$K,ANALISA!$AA25, statement!$A:$A,AH$6)</f>
        <v>0</v>
      </c>
      <c r="AI27" s="118">
        <f>SUMIFS(statement!$J:$J,statement!$K:$K,ANALISA!$AA25, statement!$A:$A,AI$6)</f>
        <v>0</v>
      </c>
      <c r="AJ27" s="124">
        <f>ANALISA!AB25</f>
        <v>0</v>
      </c>
      <c r="AK27" s="125">
        <f t="shared" si="0"/>
        <v>0</v>
      </c>
      <c r="AL27" s="126" t="str">
        <f>IF(SUMIF(statement!$K:$K,ANALISA!AA25,statement!$J:$J)=AK27,"MATCH","UNMATCH")</f>
        <v>MATCH</v>
      </c>
      <c r="AM27" s="104">
        <f>AK27-ANALISA!R25</f>
        <v>0</v>
      </c>
      <c r="AN27" s="104"/>
      <c r="AO27" s="104"/>
      <c r="AP27" s="97"/>
      <c r="AR27" s="127"/>
      <c r="AS27" s="104"/>
      <c r="AT27" s="127"/>
      <c r="AU27" s="128"/>
      <c r="AV27" s="97"/>
      <c r="AW27" s="97"/>
      <c r="AX27" s="129"/>
      <c r="AY27" s="130"/>
      <c r="BA27" s="97"/>
      <c r="BB27" s="98"/>
      <c r="BC27" s="97"/>
      <c r="BE27" s="97"/>
      <c r="BF27" s="97"/>
      <c r="BG27" s="97"/>
      <c r="BI27" s="130"/>
      <c r="BJ27" s="130"/>
    </row>
    <row r="28" spans="2:63" ht="19.5" customHeight="1" x14ac:dyDescent="0.3">
      <c r="B28" s="123">
        <f>ANALISA!C26</f>
        <v>46284</v>
      </c>
      <c r="C28" s="118">
        <f>SUMIFS(statement!$J:$J,statement!$K:$K,ANALISA!$AA26, statement!$A:$A,C$6)</f>
        <v>0</v>
      </c>
      <c r="D28" s="118">
        <f>SUMIFS(statement!$J:$J,statement!$K:$K,ANALISA!$AA26, statement!$A:$A,D$6)</f>
        <v>0</v>
      </c>
      <c r="E28" s="118">
        <f>SUMIFS(statement!$J:$J,statement!$K:$K,ANALISA!$AA26, statement!$A:$A,E$6)</f>
        <v>0</v>
      </c>
      <c r="F28" s="118">
        <f>SUMIFS(statement!$J:$J,statement!$K:$K,ANALISA!$AA26, statement!$A:$A,F$6)</f>
        <v>0</v>
      </c>
      <c r="G28" s="118">
        <f>SUMIFS(statement!$J:$J,statement!$K:$K,ANALISA!$AA26, statement!$A:$A,G$6)</f>
        <v>0</v>
      </c>
      <c r="H28" s="118">
        <f>SUMIFS(statement!$J:$J,statement!$K:$K,ANALISA!$AA26, statement!$A:$A,H$6)</f>
        <v>0</v>
      </c>
      <c r="I28" s="118">
        <f>SUMIFS(statement!$J:$J,statement!$K:$K,ANALISA!$AA26, statement!$A:$A,I$6)</f>
        <v>0</v>
      </c>
      <c r="J28" s="118">
        <f>SUMIFS(statement!$J:$J,statement!$K:$K,ANALISA!$AA26, statement!$A:$A,J$6)</f>
        <v>0</v>
      </c>
      <c r="K28" s="118">
        <f>SUMIFS(statement!$J:$J,statement!$K:$K,ANALISA!$AA26, statement!$A:$A,K$6)</f>
        <v>0</v>
      </c>
      <c r="L28" s="118">
        <f>SUMIFS(statement!$J:$J,statement!$K:$K,ANALISA!$AA26, statement!$A:$A,L$6)</f>
        <v>0</v>
      </c>
      <c r="M28" s="118">
        <f>SUMIFS(statement!$J:$J,statement!$K:$K,ANALISA!$AA26, statement!$A:$A,M$6)</f>
        <v>0</v>
      </c>
      <c r="N28" s="118">
        <f>SUMIFS(statement!$J:$J,statement!$K:$K,ANALISA!$AA26, statement!$A:$A,N$6)</f>
        <v>0</v>
      </c>
      <c r="O28" s="118">
        <f>SUMIFS(statement!$J:$J,statement!$K:$K,ANALISA!$AA26, statement!$A:$A,O$6)</f>
        <v>0</v>
      </c>
      <c r="P28" s="118">
        <f>SUMIFS(statement!$J:$J,statement!$K:$K,ANALISA!$AA26, statement!$A:$A,P$6)</f>
        <v>0</v>
      </c>
      <c r="Q28" s="118">
        <f>SUMIFS(statement!$J:$J,statement!$K:$K,ANALISA!$AA26, statement!$A:$A,Q$6)</f>
        <v>0</v>
      </c>
      <c r="R28" s="118">
        <f>SUMIFS(statement!$J:$J,statement!$K:$K,ANALISA!$AA26, statement!$A:$A,R$6)</f>
        <v>0</v>
      </c>
      <c r="S28" s="118">
        <f>SUMIFS(statement!$J:$J,statement!$K:$K,ANALISA!$AA26, statement!$A:$A,S$6)</f>
        <v>0</v>
      </c>
      <c r="T28" s="118">
        <f>SUMIFS(statement!$J:$J,statement!$K:$K,ANALISA!$AA26, statement!$A:$A,T$6)</f>
        <v>0</v>
      </c>
      <c r="U28" s="118">
        <f>SUMIFS(statement!$J:$J,statement!$K:$K,ANALISA!$AA26, statement!$A:$A,U$6)</f>
        <v>0</v>
      </c>
      <c r="V28" s="118">
        <f>SUMIFS(statement!$J:$J,statement!$K:$K,ANALISA!$AA26, statement!$A:$A,V$6)</f>
        <v>0</v>
      </c>
      <c r="W28" s="118">
        <f>SUMIFS(statement!$J:$J,statement!$K:$K,ANALISA!$AA26, statement!$A:$A,W$6)</f>
        <v>0</v>
      </c>
      <c r="X28" s="118">
        <f>SUMIFS(statement!$J:$J,statement!$K:$K,ANALISA!$AA26, statement!$A:$A,X$6)</f>
        <v>0</v>
      </c>
      <c r="Y28" s="118">
        <f>SUMIFS(statement!$J:$J,statement!$K:$K,ANALISA!$AA26, statement!$A:$A,Y$6)</f>
        <v>0</v>
      </c>
      <c r="Z28" s="118">
        <f>SUMIFS(statement!$J:$J,statement!$K:$K,ANALISA!$AA26, statement!$A:$A,Z$6)</f>
        <v>0</v>
      </c>
      <c r="AA28" s="118">
        <f>SUMIFS(statement!$J:$J,statement!$K:$K,ANALISA!$AA26, statement!$A:$A,AA$6)</f>
        <v>0</v>
      </c>
      <c r="AB28" s="118">
        <f>SUMIFS(statement!$J:$J,statement!$K:$K,ANALISA!$AA26, statement!$A:$A,AB$6)</f>
        <v>0</v>
      </c>
      <c r="AC28" s="118">
        <f>SUMIFS(statement!$J:$J,statement!$K:$K,ANALISA!$AA26, statement!$A:$A,AC$6)</f>
        <v>0</v>
      </c>
      <c r="AD28" s="118">
        <f>SUMIFS(statement!$J:$J,statement!$K:$K,ANALISA!$AA26, statement!$A:$A,AD$6)</f>
        <v>0</v>
      </c>
      <c r="AE28" s="118">
        <f>SUMIFS(statement!$J:$J,statement!$K:$K,ANALISA!$AA26, statement!$A:$A,AE$6)</f>
        <v>0</v>
      </c>
      <c r="AF28" s="118">
        <f>SUMIFS(statement!$J:$J,statement!$K:$K,ANALISA!$AA26, statement!$A:$A,AF$6)</f>
        <v>0</v>
      </c>
      <c r="AG28" s="118">
        <f>SUMIFS(statement!$J:$J,statement!$K:$K,ANALISA!$AA26, statement!$A:$A,AG$6)</f>
        <v>0</v>
      </c>
      <c r="AH28" s="118">
        <f>SUMIFS(statement!$J:$J,statement!$K:$K,ANALISA!$AA26, statement!$A:$A,AH$6)</f>
        <v>0</v>
      </c>
      <c r="AI28" s="118">
        <f>SUMIFS(statement!$J:$J,statement!$K:$K,ANALISA!$AA26, statement!$A:$A,AI$6)</f>
        <v>0</v>
      </c>
      <c r="AJ28" s="124">
        <f>ANALISA!AB26</f>
        <v>0</v>
      </c>
      <c r="AK28" s="125">
        <f t="shared" si="0"/>
        <v>0</v>
      </c>
      <c r="AL28" s="126" t="str">
        <f>IF(SUMIF(statement!$K:$K,ANALISA!AA26,statement!$J:$J)=AK28,"MATCH","UNMATCH")</f>
        <v>MATCH</v>
      </c>
      <c r="AM28" s="104">
        <f>AK28-ANALISA!R26</f>
        <v>0</v>
      </c>
      <c r="AN28" s="104"/>
      <c r="AO28" s="104"/>
      <c r="AP28" s="97"/>
      <c r="AR28" s="127"/>
      <c r="AS28" s="104"/>
      <c r="AT28" s="127"/>
      <c r="AU28" s="128"/>
      <c r="AV28" s="97"/>
      <c r="AW28" s="97"/>
      <c r="AX28" s="129"/>
      <c r="AY28" s="130"/>
      <c r="BA28" s="97"/>
      <c r="BB28" s="98"/>
      <c r="BC28" s="97"/>
      <c r="BE28" s="97"/>
      <c r="BF28" s="97"/>
      <c r="BG28" s="97"/>
      <c r="BI28" s="130"/>
      <c r="BJ28" s="130"/>
    </row>
    <row r="29" spans="2:63" ht="19.5" customHeight="1" x14ac:dyDescent="0.3">
      <c r="B29" s="123">
        <f>ANALISA!C27</f>
        <v>46285</v>
      </c>
      <c r="C29" s="118">
        <f>SUMIFS(statement!$J:$J,statement!$K:$K,ANALISA!$AA27, statement!$A:$A,C$6)</f>
        <v>0</v>
      </c>
      <c r="D29" s="118">
        <f>SUMIFS(statement!$J:$J,statement!$K:$K,ANALISA!$AA27, statement!$A:$A,D$6)</f>
        <v>0</v>
      </c>
      <c r="E29" s="118">
        <f>SUMIFS(statement!$J:$J,statement!$K:$K,ANALISA!$AA27, statement!$A:$A,E$6)</f>
        <v>0</v>
      </c>
      <c r="F29" s="118">
        <f>SUMIFS(statement!$J:$J,statement!$K:$K,ANALISA!$AA27, statement!$A:$A,F$6)</f>
        <v>0</v>
      </c>
      <c r="G29" s="118">
        <f>SUMIFS(statement!$J:$J,statement!$K:$K,ANALISA!$AA27, statement!$A:$A,G$6)</f>
        <v>0</v>
      </c>
      <c r="H29" s="118">
        <f>SUMIFS(statement!$J:$J,statement!$K:$K,ANALISA!$AA27, statement!$A:$A,H$6)</f>
        <v>0</v>
      </c>
      <c r="I29" s="118">
        <f>SUMIFS(statement!$J:$J,statement!$K:$K,ANALISA!$AA27, statement!$A:$A,I$6)</f>
        <v>0</v>
      </c>
      <c r="J29" s="118">
        <f>SUMIFS(statement!$J:$J,statement!$K:$K,ANALISA!$AA27, statement!$A:$A,J$6)</f>
        <v>0</v>
      </c>
      <c r="K29" s="118">
        <f>SUMIFS(statement!$J:$J,statement!$K:$K,ANALISA!$AA27, statement!$A:$A,K$6)</f>
        <v>0</v>
      </c>
      <c r="L29" s="118">
        <f>SUMIFS(statement!$J:$J,statement!$K:$K,ANALISA!$AA27, statement!$A:$A,L$6)</f>
        <v>0</v>
      </c>
      <c r="M29" s="118">
        <f>SUMIFS(statement!$J:$J,statement!$K:$K,ANALISA!$AA27, statement!$A:$A,M$6)</f>
        <v>0</v>
      </c>
      <c r="N29" s="118">
        <f>SUMIFS(statement!$J:$J,statement!$K:$K,ANALISA!$AA27, statement!$A:$A,N$6)</f>
        <v>0</v>
      </c>
      <c r="O29" s="118">
        <f>SUMIFS(statement!$J:$J,statement!$K:$K,ANALISA!$AA27, statement!$A:$A,O$6)</f>
        <v>0</v>
      </c>
      <c r="P29" s="118">
        <f>SUMIFS(statement!$J:$J,statement!$K:$K,ANALISA!$AA27, statement!$A:$A,P$6)</f>
        <v>0</v>
      </c>
      <c r="Q29" s="118">
        <f>SUMIFS(statement!$J:$J,statement!$K:$K,ANALISA!$AA27, statement!$A:$A,Q$6)</f>
        <v>0</v>
      </c>
      <c r="R29" s="118">
        <f>SUMIFS(statement!$J:$J,statement!$K:$K,ANALISA!$AA27, statement!$A:$A,R$6)</f>
        <v>0</v>
      </c>
      <c r="S29" s="118">
        <f>SUMIFS(statement!$J:$J,statement!$K:$K,ANALISA!$AA27, statement!$A:$A,S$6)</f>
        <v>0</v>
      </c>
      <c r="T29" s="118">
        <f>SUMIFS(statement!$J:$J,statement!$K:$K,ANALISA!$AA27, statement!$A:$A,T$6)</f>
        <v>0</v>
      </c>
      <c r="U29" s="118">
        <f>SUMIFS(statement!$J:$J,statement!$K:$K,ANALISA!$AA27, statement!$A:$A,U$6)</f>
        <v>0</v>
      </c>
      <c r="V29" s="118">
        <f>SUMIFS(statement!$J:$J,statement!$K:$K,ANALISA!$AA27, statement!$A:$A,V$6)</f>
        <v>0</v>
      </c>
      <c r="W29" s="118">
        <f>SUMIFS(statement!$J:$J,statement!$K:$K,ANALISA!$AA27, statement!$A:$A,W$6)</f>
        <v>0</v>
      </c>
      <c r="X29" s="118">
        <f>SUMIFS(statement!$J:$J,statement!$K:$K,ANALISA!$AA27, statement!$A:$A,X$6)</f>
        <v>0</v>
      </c>
      <c r="Y29" s="118">
        <f>SUMIFS(statement!$J:$J,statement!$K:$K,ANALISA!$AA27, statement!$A:$A,Y$6)</f>
        <v>0</v>
      </c>
      <c r="Z29" s="118">
        <f>SUMIFS(statement!$J:$J,statement!$K:$K,ANALISA!$AA27, statement!$A:$A,Z$6)</f>
        <v>0</v>
      </c>
      <c r="AA29" s="118">
        <f>SUMIFS(statement!$J:$J,statement!$K:$K,ANALISA!$AA27, statement!$A:$A,AA$6)</f>
        <v>0</v>
      </c>
      <c r="AB29" s="118">
        <f>SUMIFS(statement!$J:$J,statement!$K:$K,ANALISA!$AA27, statement!$A:$A,AB$6)</f>
        <v>0</v>
      </c>
      <c r="AC29" s="118">
        <f>SUMIFS(statement!$J:$J,statement!$K:$K,ANALISA!$AA27, statement!$A:$A,AC$6)</f>
        <v>0</v>
      </c>
      <c r="AD29" s="118">
        <f>SUMIFS(statement!$J:$J,statement!$K:$K,ANALISA!$AA27, statement!$A:$A,AD$6)</f>
        <v>0</v>
      </c>
      <c r="AE29" s="118">
        <f>SUMIFS(statement!$J:$J,statement!$K:$K,ANALISA!$AA27, statement!$A:$A,AE$6)</f>
        <v>0</v>
      </c>
      <c r="AF29" s="118">
        <f>SUMIFS(statement!$J:$J,statement!$K:$K,ANALISA!$AA27, statement!$A:$A,AF$6)</f>
        <v>0</v>
      </c>
      <c r="AG29" s="118">
        <f>SUMIFS(statement!$J:$J,statement!$K:$K,ANALISA!$AA27, statement!$A:$A,AG$6)</f>
        <v>0</v>
      </c>
      <c r="AH29" s="118">
        <f>SUMIFS(statement!$J:$J,statement!$K:$K,ANALISA!$AA27, statement!$A:$A,AH$6)</f>
        <v>0</v>
      </c>
      <c r="AI29" s="118">
        <f>SUMIFS(statement!$J:$J,statement!$K:$K,ANALISA!$AA27, statement!$A:$A,AI$6)</f>
        <v>0</v>
      </c>
      <c r="AJ29" s="124">
        <f>ANALISA!AB27</f>
        <v>0</v>
      </c>
      <c r="AK29" s="125">
        <f t="shared" si="0"/>
        <v>0</v>
      </c>
      <c r="AL29" s="126" t="str">
        <f>IF(SUMIF(statement!$K:$K,ANALISA!AA27,statement!$J:$J)=AK29,"MATCH","UNMATCH")</f>
        <v>MATCH</v>
      </c>
      <c r="AM29" s="104">
        <f>AK29-ANALISA!R27</f>
        <v>0</v>
      </c>
      <c r="AN29" s="104"/>
      <c r="AO29" s="104"/>
      <c r="AP29" s="97"/>
      <c r="AR29" s="127"/>
      <c r="AS29" s="104"/>
      <c r="AT29" s="127"/>
      <c r="AU29" s="128"/>
      <c r="AV29" s="97"/>
      <c r="AW29" s="97"/>
      <c r="AX29" s="129"/>
      <c r="AY29" s="130"/>
      <c r="AZ29" s="97"/>
      <c r="BA29" s="97"/>
      <c r="BB29" s="98"/>
      <c r="BC29" s="97"/>
      <c r="BE29" s="97"/>
      <c r="BF29" s="97"/>
      <c r="BG29" s="97"/>
      <c r="BI29" s="130"/>
      <c r="BJ29" s="130"/>
    </row>
    <row r="30" spans="2:63" s="96" customFormat="1" ht="19.5" customHeight="1" x14ac:dyDescent="0.3">
      <c r="B30" s="123">
        <f>ANALISA!C28</f>
        <v>46286</v>
      </c>
      <c r="C30" s="118">
        <f>SUMIFS(statement!$J:$J,statement!$K:$K,ANALISA!$AA28, statement!$A:$A,C$6)</f>
        <v>0</v>
      </c>
      <c r="D30" s="118">
        <f>SUMIFS(statement!$J:$J,statement!$K:$K,ANALISA!$AA28, statement!$A:$A,D$6)</f>
        <v>0</v>
      </c>
      <c r="E30" s="118">
        <f>SUMIFS(statement!$J:$J,statement!$K:$K,ANALISA!$AA28, statement!$A:$A,E$6)</f>
        <v>0</v>
      </c>
      <c r="F30" s="118">
        <f>SUMIFS(statement!$J:$J,statement!$K:$K,ANALISA!$AA28, statement!$A:$A,F$6)</f>
        <v>0</v>
      </c>
      <c r="G30" s="118">
        <f>SUMIFS(statement!$J:$J,statement!$K:$K,ANALISA!$AA28, statement!$A:$A,G$6)</f>
        <v>0</v>
      </c>
      <c r="H30" s="118">
        <f>SUMIFS(statement!$J:$J,statement!$K:$K,ANALISA!$AA28, statement!$A:$A,H$6)</f>
        <v>0</v>
      </c>
      <c r="I30" s="118">
        <f>SUMIFS(statement!$J:$J,statement!$K:$K,ANALISA!$AA28, statement!$A:$A,I$6)</f>
        <v>0</v>
      </c>
      <c r="J30" s="118">
        <f>SUMIFS(statement!$J:$J,statement!$K:$K,ANALISA!$AA28, statement!$A:$A,J$6)</f>
        <v>0</v>
      </c>
      <c r="K30" s="118">
        <f>SUMIFS(statement!$J:$J,statement!$K:$K,ANALISA!$AA28, statement!$A:$A,K$6)</f>
        <v>0</v>
      </c>
      <c r="L30" s="118">
        <f>SUMIFS(statement!$J:$J,statement!$K:$K,ANALISA!$AA28, statement!$A:$A,L$6)</f>
        <v>0</v>
      </c>
      <c r="M30" s="118">
        <f>SUMIFS(statement!$J:$J,statement!$K:$K,ANALISA!$AA28, statement!$A:$A,M$6)</f>
        <v>0</v>
      </c>
      <c r="N30" s="118">
        <f>SUMIFS(statement!$J:$J,statement!$K:$K,ANALISA!$AA28, statement!$A:$A,N$6)</f>
        <v>0</v>
      </c>
      <c r="O30" s="118">
        <f>SUMIFS(statement!$J:$J,statement!$K:$K,ANALISA!$AA28, statement!$A:$A,O$6)</f>
        <v>0</v>
      </c>
      <c r="P30" s="118">
        <f>SUMIFS(statement!$J:$J,statement!$K:$K,ANALISA!$AA28, statement!$A:$A,P$6)</f>
        <v>0</v>
      </c>
      <c r="Q30" s="118">
        <f>SUMIFS(statement!$J:$J,statement!$K:$K,ANALISA!$AA28, statement!$A:$A,Q$6)</f>
        <v>0</v>
      </c>
      <c r="R30" s="118">
        <f>SUMIFS(statement!$J:$J,statement!$K:$K,ANALISA!$AA28, statement!$A:$A,R$6)</f>
        <v>0</v>
      </c>
      <c r="S30" s="118">
        <f>SUMIFS(statement!$J:$J,statement!$K:$K,ANALISA!$AA28, statement!$A:$A,S$6)</f>
        <v>0</v>
      </c>
      <c r="T30" s="118">
        <f>SUMIFS(statement!$J:$J,statement!$K:$K,ANALISA!$AA28, statement!$A:$A,T$6)</f>
        <v>0</v>
      </c>
      <c r="U30" s="118">
        <f>SUMIFS(statement!$J:$J,statement!$K:$K,ANALISA!$AA28, statement!$A:$A,U$6)</f>
        <v>0</v>
      </c>
      <c r="V30" s="118">
        <f>SUMIFS(statement!$J:$J,statement!$K:$K,ANALISA!$AA28, statement!$A:$A,V$6)</f>
        <v>0</v>
      </c>
      <c r="W30" s="118">
        <f>SUMIFS(statement!$J:$J,statement!$K:$K,ANALISA!$AA28, statement!$A:$A,W$6)</f>
        <v>0</v>
      </c>
      <c r="X30" s="118">
        <f>SUMIFS(statement!$J:$J,statement!$K:$K,ANALISA!$AA28, statement!$A:$A,X$6)</f>
        <v>0</v>
      </c>
      <c r="Y30" s="118">
        <f>SUMIFS(statement!$J:$J,statement!$K:$K,ANALISA!$AA28, statement!$A:$A,Y$6)</f>
        <v>0</v>
      </c>
      <c r="Z30" s="118">
        <f>SUMIFS(statement!$J:$J,statement!$K:$K,ANALISA!$AA28, statement!$A:$A,Z$6)</f>
        <v>0</v>
      </c>
      <c r="AA30" s="118">
        <f>SUMIFS(statement!$J:$J,statement!$K:$K,ANALISA!$AA28, statement!$A:$A,AA$6)</f>
        <v>0</v>
      </c>
      <c r="AB30" s="118">
        <f>SUMIFS(statement!$J:$J,statement!$K:$K,ANALISA!$AA28, statement!$A:$A,AB$6)</f>
        <v>0</v>
      </c>
      <c r="AC30" s="118">
        <f>SUMIFS(statement!$J:$J,statement!$K:$K,ANALISA!$AA28, statement!$A:$A,AC$6)</f>
        <v>0</v>
      </c>
      <c r="AD30" s="118">
        <f>SUMIFS(statement!$J:$J,statement!$K:$K,ANALISA!$AA28, statement!$A:$A,AD$6)</f>
        <v>0</v>
      </c>
      <c r="AE30" s="118">
        <f>SUMIFS(statement!$J:$J,statement!$K:$K,ANALISA!$AA28, statement!$A:$A,AE$6)</f>
        <v>0</v>
      </c>
      <c r="AF30" s="118">
        <f>SUMIFS(statement!$J:$J,statement!$K:$K,ANALISA!$AA28, statement!$A:$A,AF$6)</f>
        <v>0</v>
      </c>
      <c r="AG30" s="118">
        <f>SUMIFS(statement!$J:$J,statement!$K:$K,ANALISA!$AA28, statement!$A:$A,AG$6)</f>
        <v>0</v>
      </c>
      <c r="AH30" s="118">
        <f>SUMIFS(statement!$J:$J,statement!$K:$K,ANALISA!$AA28, statement!$A:$A,AH$6)</f>
        <v>0</v>
      </c>
      <c r="AI30" s="118">
        <f>SUMIFS(statement!$J:$J,statement!$K:$K,ANALISA!$AA28, statement!$A:$A,AI$6)</f>
        <v>0</v>
      </c>
      <c r="AJ30" s="124">
        <f>ANALISA!AB28</f>
        <v>0</v>
      </c>
      <c r="AK30" s="125">
        <f t="shared" si="0"/>
        <v>0</v>
      </c>
      <c r="AL30" s="126" t="str">
        <f>IF(SUMIF(statement!$K:$K,ANALISA!AA28,statement!$J:$J)=AK30,"MATCH","UNMATCH")</f>
        <v>MATCH</v>
      </c>
      <c r="AM30" s="104">
        <f>AK30-ANALISA!R28</f>
        <v>0</v>
      </c>
      <c r="AN30" s="104"/>
      <c r="AO30" s="104"/>
      <c r="AP30" s="97"/>
      <c r="AQ30" s="97"/>
      <c r="AR30" s="127"/>
      <c r="AS30" s="104"/>
      <c r="AT30" s="127"/>
      <c r="AU30" s="128"/>
      <c r="AV30" s="97"/>
      <c r="AW30" s="97"/>
      <c r="AX30" s="129"/>
      <c r="AY30" s="130"/>
      <c r="AZ30" s="133"/>
      <c r="BA30" s="97"/>
      <c r="BB30" s="98"/>
      <c r="BC30" s="97"/>
      <c r="BD30" s="133"/>
      <c r="BE30" s="97"/>
      <c r="BF30" s="97"/>
      <c r="BG30" s="97"/>
      <c r="BI30" s="130"/>
      <c r="BJ30" s="130"/>
    </row>
    <row r="31" spans="2:63" s="96" customFormat="1" ht="19.5" customHeight="1" x14ac:dyDescent="0.3">
      <c r="B31" s="123">
        <f>ANALISA!C29</f>
        <v>46287</v>
      </c>
      <c r="C31" s="118">
        <f>SUMIFS(statement!$J:$J,statement!$K:$K,ANALISA!$AA29, statement!$A:$A,C$6)</f>
        <v>0</v>
      </c>
      <c r="D31" s="118">
        <f>SUMIFS(statement!$J:$J,statement!$K:$K,ANALISA!$AA29, statement!$A:$A,D$6)</f>
        <v>0</v>
      </c>
      <c r="E31" s="118">
        <f>SUMIFS(statement!$J:$J,statement!$K:$K,ANALISA!$AA29, statement!$A:$A,E$6)</f>
        <v>0</v>
      </c>
      <c r="F31" s="118">
        <f>SUMIFS(statement!$J:$J,statement!$K:$K,ANALISA!$AA29, statement!$A:$A,F$6)</f>
        <v>0</v>
      </c>
      <c r="G31" s="118">
        <f>SUMIFS(statement!$J:$J,statement!$K:$K,ANALISA!$AA29, statement!$A:$A,G$6)</f>
        <v>0</v>
      </c>
      <c r="H31" s="118">
        <f>SUMIFS(statement!$J:$J,statement!$K:$K,ANALISA!$AA29, statement!$A:$A,H$6)</f>
        <v>0</v>
      </c>
      <c r="I31" s="118">
        <f>SUMIFS(statement!$J:$J,statement!$K:$K,ANALISA!$AA29, statement!$A:$A,I$6)</f>
        <v>0</v>
      </c>
      <c r="J31" s="118">
        <f>SUMIFS(statement!$J:$J,statement!$K:$K,ANALISA!$AA29, statement!$A:$A,J$6)</f>
        <v>0</v>
      </c>
      <c r="K31" s="118">
        <f>SUMIFS(statement!$J:$J,statement!$K:$K,ANALISA!$AA29, statement!$A:$A,K$6)</f>
        <v>0</v>
      </c>
      <c r="L31" s="118">
        <f>SUMIFS(statement!$J:$J,statement!$K:$K,ANALISA!$AA29, statement!$A:$A,L$6)</f>
        <v>0</v>
      </c>
      <c r="M31" s="118">
        <f>SUMIFS(statement!$J:$J,statement!$K:$K,ANALISA!$AA29, statement!$A:$A,M$6)</f>
        <v>0</v>
      </c>
      <c r="N31" s="118">
        <f>SUMIFS(statement!$J:$J,statement!$K:$K,ANALISA!$AA29, statement!$A:$A,N$6)</f>
        <v>0</v>
      </c>
      <c r="O31" s="118">
        <f>SUMIFS(statement!$J:$J,statement!$K:$K,ANALISA!$AA29, statement!$A:$A,O$6)</f>
        <v>0</v>
      </c>
      <c r="P31" s="118">
        <f>SUMIFS(statement!$J:$J,statement!$K:$K,ANALISA!$AA29, statement!$A:$A,P$6)</f>
        <v>0</v>
      </c>
      <c r="Q31" s="118">
        <f>SUMIFS(statement!$J:$J,statement!$K:$K,ANALISA!$AA29, statement!$A:$A,Q$6)</f>
        <v>0</v>
      </c>
      <c r="R31" s="118">
        <f>SUMIFS(statement!$J:$J,statement!$K:$K,ANALISA!$AA29, statement!$A:$A,R$6)</f>
        <v>0</v>
      </c>
      <c r="S31" s="118">
        <f>SUMIFS(statement!$J:$J,statement!$K:$K,ANALISA!$AA29, statement!$A:$A,S$6)</f>
        <v>0</v>
      </c>
      <c r="T31" s="118">
        <f>SUMIFS(statement!$J:$J,statement!$K:$K,ANALISA!$AA29, statement!$A:$A,T$6)</f>
        <v>0</v>
      </c>
      <c r="U31" s="118">
        <f>SUMIFS(statement!$J:$J,statement!$K:$K,ANALISA!$AA29, statement!$A:$A,U$6)</f>
        <v>0</v>
      </c>
      <c r="V31" s="118">
        <f>SUMIFS(statement!$J:$J,statement!$K:$K,ANALISA!$AA29, statement!$A:$A,V$6)</f>
        <v>0</v>
      </c>
      <c r="W31" s="118">
        <f>SUMIFS(statement!$J:$J,statement!$K:$K,ANALISA!$AA29, statement!$A:$A,W$6)</f>
        <v>0</v>
      </c>
      <c r="X31" s="118">
        <f>SUMIFS(statement!$J:$J,statement!$K:$K,ANALISA!$AA29, statement!$A:$A,X$6)</f>
        <v>0</v>
      </c>
      <c r="Y31" s="118">
        <f>SUMIFS(statement!$J:$J,statement!$K:$K,ANALISA!$AA29, statement!$A:$A,Y$6)</f>
        <v>0</v>
      </c>
      <c r="Z31" s="118">
        <f>SUMIFS(statement!$J:$J,statement!$K:$K,ANALISA!$AA29, statement!$A:$A,Z$6)</f>
        <v>0</v>
      </c>
      <c r="AA31" s="118">
        <f>SUMIFS(statement!$J:$J,statement!$K:$K,ANALISA!$AA29, statement!$A:$A,AA$6)</f>
        <v>0</v>
      </c>
      <c r="AB31" s="118">
        <f>SUMIFS(statement!$J:$J,statement!$K:$K,ANALISA!$AA29, statement!$A:$A,AB$6)</f>
        <v>0</v>
      </c>
      <c r="AC31" s="118">
        <f>SUMIFS(statement!$J:$J,statement!$K:$K,ANALISA!$AA29, statement!$A:$A,AC$6)</f>
        <v>0</v>
      </c>
      <c r="AD31" s="118">
        <f>SUMIFS(statement!$J:$J,statement!$K:$K,ANALISA!$AA29, statement!$A:$A,AD$6)</f>
        <v>0</v>
      </c>
      <c r="AE31" s="118">
        <f>SUMIFS(statement!$J:$J,statement!$K:$K,ANALISA!$AA29, statement!$A:$A,AE$6)</f>
        <v>0</v>
      </c>
      <c r="AF31" s="118">
        <f>SUMIFS(statement!$J:$J,statement!$K:$K,ANALISA!$AA29, statement!$A:$A,AF$6)</f>
        <v>0</v>
      </c>
      <c r="AG31" s="118">
        <f>SUMIFS(statement!$J:$J,statement!$K:$K,ANALISA!$AA29, statement!$A:$A,AG$6)</f>
        <v>0</v>
      </c>
      <c r="AH31" s="118">
        <f>SUMIFS(statement!$J:$J,statement!$K:$K,ANALISA!$AA29, statement!$A:$A,AH$6)</f>
        <v>0</v>
      </c>
      <c r="AI31" s="118">
        <f>SUMIFS(statement!$J:$J,statement!$K:$K,ANALISA!$AA29, statement!$A:$A,AI$6)</f>
        <v>0</v>
      </c>
      <c r="AJ31" s="124">
        <f>ANALISA!AB29</f>
        <v>0</v>
      </c>
      <c r="AK31" s="125">
        <f t="shared" si="0"/>
        <v>0</v>
      </c>
      <c r="AL31" s="126" t="str">
        <f>IF(SUMIF(statement!$K:$K,ANALISA!AA29,statement!$J:$J)=AK31,"MATCH","UNMATCH")</f>
        <v>MATCH</v>
      </c>
      <c r="AM31" s="104">
        <f>AK31-ANALISA!R29</f>
        <v>0</v>
      </c>
      <c r="AN31" s="104"/>
      <c r="AO31" s="104"/>
      <c r="AP31" s="97"/>
      <c r="AQ31" s="97"/>
      <c r="AR31" s="127"/>
      <c r="AS31" s="104"/>
      <c r="AT31" s="127"/>
      <c r="AU31" s="128"/>
      <c r="AV31" s="97"/>
      <c r="AW31" s="97"/>
      <c r="AX31" s="129"/>
      <c r="AY31" s="130"/>
      <c r="BA31" s="97"/>
      <c r="BB31" s="98"/>
      <c r="BC31" s="97"/>
      <c r="BE31" s="97"/>
      <c r="BF31" s="97"/>
      <c r="BG31" s="97"/>
      <c r="BI31" s="130"/>
      <c r="BJ31" s="130"/>
    </row>
    <row r="32" spans="2:63" s="96" customFormat="1" ht="19.5" customHeight="1" x14ac:dyDescent="0.3">
      <c r="B32" s="123">
        <f>ANALISA!C30</f>
        <v>46288</v>
      </c>
      <c r="C32" s="118">
        <f>SUMIFS(statement!$J:$J,statement!$K:$K,ANALISA!$AA30, statement!$A:$A,C$6)</f>
        <v>0</v>
      </c>
      <c r="D32" s="118">
        <f>SUMIFS(statement!$J:$J,statement!$K:$K,ANALISA!$AA30, statement!$A:$A,D$6)</f>
        <v>0</v>
      </c>
      <c r="E32" s="118">
        <f>SUMIFS(statement!$J:$J,statement!$K:$K,ANALISA!$AA30, statement!$A:$A,E$6)</f>
        <v>0</v>
      </c>
      <c r="F32" s="118">
        <f>SUMIFS(statement!$J:$J,statement!$K:$K,ANALISA!$AA30, statement!$A:$A,F$6)</f>
        <v>0</v>
      </c>
      <c r="G32" s="118">
        <f>SUMIFS(statement!$J:$J,statement!$K:$K,ANALISA!$AA30, statement!$A:$A,G$6)</f>
        <v>0</v>
      </c>
      <c r="H32" s="118">
        <f>SUMIFS(statement!$J:$J,statement!$K:$K,ANALISA!$AA30, statement!$A:$A,H$6)</f>
        <v>0</v>
      </c>
      <c r="I32" s="118">
        <f>SUMIFS(statement!$J:$J,statement!$K:$K,ANALISA!$AA30, statement!$A:$A,I$6)</f>
        <v>0</v>
      </c>
      <c r="J32" s="118">
        <f>SUMIFS(statement!$J:$J,statement!$K:$K,ANALISA!$AA30, statement!$A:$A,J$6)</f>
        <v>0</v>
      </c>
      <c r="K32" s="118">
        <f>SUMIFS(statement!$J:$J,statement!$K:$K,ANALISA!$AA30, statement!$A:$A,K$6)</f>
        <v>0</v>
      </c>
      <c r="L32" s="118">
        <f>SUMIFS(statement!$J:$J,statement!$K:$K,ANALISA!$AA30, statement!$A:$A,L$6)</f>
        <v>0</v>
      </c>
      <c r="M32" s="118">
        <f>SUMIFS(statement!$J:$J,statement!$K:$K,ANALISA!$AA30, statement!$A:$A,M$6)</f>
        <v>0</v>
      </c>
      <c r="N32" s="118">
        <f>SUMIFS(statement!$J:$J,statement!$K:$K,ANALISA!$AA30, statement!$A:$A,N$6)</f>
        <v>0</v>
      </c>
      <c r="O32" s="118">
        <f>SUMIFS(statement!$J:$J,statement!$K:$K,ANALISA!$AA30, statement!$A:$A,O$6)</f>
        <v>0</v>
      </c>
      <c r="P32" s="118">
        <f>SUMIFS(statement!$J:$J,statement!$K:$K,ANALISA!$AA30, statement!$A:$A,P$6)</f>
        <v>0</v>
      </c>
      <c r="Q32" s="118">
        <f>SUMIFS(statement!$J:$J,statement!$K:$K,ANALISA!$AA30, statement!$A:$A,Q$6)</f>
        <v>0</v>
      </c>
      <c r="R32" s="118">
        <f>SUMIFS(statement!$J:$J,statement!$K:$K,ANALISA!$AA30, statement!$A:$A,R$6)</f>
        <v>0</v>
      </c>
      <c r="S32" s="118">
        <f>SUMIFS(statement!$J:$J,statement!$K:$K,ANALISA!$AA30, statement!$A:$A,S$6)</f>
        <v>0</v>
      </c>
      <c r="T32" s="118">
        <f>SUMIFS(statement!$J:$J,statement!$K:$K,ANALISA!$AA30, statement!$A:$A,T$6)</f>
        <v>0</v>
      </c>
      <c r="U32" s="118">
        <f>SUMIFS(statement!$J:$J,statement!$K:$K,ANALISA!$AA30, statement!$A:$A,U$6)</f>
        <v>0</v>
      </c>
      <c r="V32" s="118">
        <f>SUMIFS(statement!$J:$J,statement!$K:$K,ANALISA!$AA30, statement!$A:$A,V$6)</f>
        <v>0</v>
      </c>
      <c r="W32" s="118">
        <f>SUMIFS(statement!$J:$J,statement!$K:$K,ANALISA!$AA30, statement!$A:$A,W$6)</f>
        <v>0</v>
      </c>
      <c r="X32" s="118">
        <f>SUMIFS(statement!$J:$J,statement!$K:$K,ANALISA!$AA30, statement!$A:$A,X$6)</f>
        <v>0</v>
      </c>
      <c r="Y32" s="118">
        <f>SUMIFS(statement!$J:$J,statement!$K:$K,ANALISA!$AA30, statement!$A:$A,Y$6)</f>
        <v>0</v>
      </c>
      <c r="Z32" s="118">
        <f>SUMIFS(statement!$J:$J,statement!$K:$K,ANALISA!$AA30, statement!$A:$A,Z$6)</f>
        <v>0</v>
      </c>
      <c r="AA32" s="118">
        <f>SUMIFS(statement!$J:$J,statement!$K:$K,ANALISA!$AA30, statement!$A:$A,AA$6)</f>
        <v>0</v>
      </c>
      <c r="AB32" s="118">
        <f>SUMIFS(statement!$J:$J,statement!$K:$K,ANALISA!$AA30, statement!$A:$A,AB$6)</f>
        <v>0</v>
      </c>
      <c r="AC32" s="118">
        <f>SUMIFS(statement!$J:$J,statement!$K:$K,ANALISA!$AA30, statement!$A:$A,AC$6)</f>
        <v>0</v>
      </c>
      <c r="AD32" s="118">
        <f>SUMIFS(statement!$J:$J,statement!$K:$K,ANALISA!$AA30, statement!$A:$A,AD$6)</f>
        <v>0</v>
      </c>
      <c r="AE32" s="118">
        <f>SUMIFS(statement!$J:$J,statement!$K:$K,ANALISA!$AA30, statement!$A:$A,AE$6)</f>
        <v>0</v>
      </c>
      <c r="AF32" s="118">
        <f>SUMIFS(statement!$J:$J,statement!$K:$K,ANALISA!$AA30, statement!$A:$A,AF$6)</f>
        <v>0</v>
      </c>
      <c r="AG32" s="118">
        <f>SUMIFS(statement!$J:$J,statement!$K:$K,ANALISA!$AA30, statement!$A:$A,AG$6)</f>
        <v>0</v>
      </c>
      <c r="AH32" s="118">
        <f>SUMIFS(statement!$J:$J,statement!$K:$K,ANALISA!$AA30, statement!$A:$A,AH$6)</f>
        <v>0</v>
      </c>
      <c r="AI32" s="118">
        <f>SUMIFS(statement!$J:$J,statement!$K:$K,ANALISA!$AA30, statement!$A:$A,AI$6)</f>
        <v>0</v>
      </c>
      <c r="AJ32" s="124">
        <f>ANALISA!AB30</f>
        <v>0</v>
      </c>
      <c r="AK32" s="125">
        <f t="shared" si="0"/>
        <v>0</v>
      </c>
      <c r="AL32" s="126" t="str">
        <f>IF(SUMIF(statement!$K:$K,ANALISA!AA30,statement!$J:$J)=AK32,"MATCH","UNMATCH")</f>
        <v>MATCH</v>
      </c>
      <c r="AM32" s="104">
        <f>AK32-ANALISA!R30</f>
        <v>0</v>
      </c>
      <c r="AN32" s="104"/>
      <c r="AO32" s="104"/>
      <c r="AP32" s="97"/>
      <c r="AQ32" s="97"/>
      <c r="AR32" s="127"/>
      <c r="AS32" s="104"/>
      <c r="AT32" s="127"/>
      <c r="AU32" s="128"/>
      <c r="AV32" s="97"/>
      <c r="AW32" s="97"/>
      <c r="AX32" s="129"/>
      <c r="AY32" s="130"/>
      <c r="BA32" s="97"/>
      <c r="BB32" s="98"/>
      <c r="BC32" s="97"/>
      <c r="BE32" s="97"/>
      <c r="BF32" s="97"/>
      <c r="BG32" s="97"/>
      <c r="BI32" s="130"/>
      <c r="BJ32" s="130"/>
      <c r="BK32" s="88"/>
    </row>
    <row r="33" spans="2:62" ht="19.5" customHeight="1" x14ac:dyDescent="0.3">
      <c r="B33" s="123">
        <f>ANALISA!C31</f>
        <v>46289</v>
      </c>
      <c r="C33" s="118">
        <f>SUMIFS(statement!$J:$J,statement!$K:$K,ANALISA!$AA31, statement!$A:$A,C$6)</f>
        <v>0</v>
      </c>
      <c r="D33" s="118">
        <f>SUMIFS(statement!$J:$J,statement!$K:$K,ANALISA!$AA31, statement!$A:$A,D$6)</f>
        <v>0</v>
      </c>
      <c r="E33" s="118">
        <f>SUMIFS(statement!$J:$J,statement!$K:$K,ANALISA!$AA31, statement!$A:$A,E$6)</f>
        <v>0</v>
      </c>
      <c r="F33" s="118">
        <f>SUMIFS(statement!$J:$J,statement!$K:$K,ANALISA!$AA31, statement!$A:$A,F$6)</f>
        <v>0</v>
      </c>
      <c r="G33" s="118">
        <f>SUMIFS(statement!$J:$J,statement!$K:$K,ANALISA!$AA31, statement!$A:$A,G$6)</f>
        <v>0</v>
      </c>
      <c r="H33" s="118">
        <f>SUMIFS(statement!$J:$J,statement!$K:$K,ANALISA!$AA31, statement!$A:$A,H$6)</f>
        <v>0</v>
      </c>
      <c r="I33" s="118">
        <f>SUMIFS(statement!$J:$J,statement!$K:$K,ANALISA!$AA31, statement!$A:$A,I$6)</f>
        <v>0</v>
      </c>
      <c r="J33" s="118">
        <f>SUMIFS(statement!$J:$J,statement!$K:$K,ANALISA!$AA31, statement!$A:$A,J$6)</f>
        <v>0</v>
      </c>
      <c r="K33" s="118">
        <f>SUMIFS(statement!$J:$J,statement!$K:$K,ANALISA!$AA31, statement!$A:$A,K$6)</f>
        <v>0</v>
      </c>
      <c r="L33" s="118">
        <f>SUMIFS(statement!$J:$J,statement!$K:$K,ANALISA!$AA31, statement!$A:$A,L$6)</f>
        <v>0</v>
      </c>
      <c r="M33" s="118">
        <f>SUMIFS(statement!$J:$J,statement!$K:$K,ANALISA!$AA31, statement!$A:$A,M$6)</f>
        <v>0</v>
      </c>
      <c r="N33" s="118">
        <f>SUMIFS(statement!$J:$J,statement!$K:$K,ANALISA!$AA31, statement!$A:$A,N$6)</f>
        <v>0</v>
      </c>
      <c r="O33" s="118">
        <f>SUMIFS(statement!$J:$J,statement!$K:$K,ANALISA!$AA31, statement!$A:$A,O$6)</f>
        <v>0</v>
      </c>
      <c r="P33" s="118">
        <f>SUMIFS(statement!$J:$J,statement!$K:$K,ANALISA!$AA31, statement!$A:$A,P$6)</f>
        <v>0</v>
      </c>
      <c r="Q33" s="118">
        <f>SUMIFS(statement!$J:$J,statement!$K:$K,ANALISA!$AA31, statement!$A:$A,Q$6)</f>
        <v>0</v>
      </c>
      <c r="R33" s="118">
        <f>SUMIFS(statement!$J:$J,statement!$K:$K,ANALISA!$AA31, statement!$A:$A,R$6)</f>
        <v>0</v>
      </c>
      <c r="S33" s="118">
        <f>SUMIFS(statement!$J:$J,statement!$K:$K,ANALISA!$AA31, statement!$A:$A,S$6)</f>
        <v>0</v>
      </c>
      <c r="T33" s="118">
        <f>SUMIFS(statement!$J:$J,statement!$K:$K,ANALISA!$AA31, statement!$A:$A,T$6)</f>
        <v>0</v>
      </c>
      <c r="U33" s="118">
        <f>SUMIFS(statement!$J:$J,statement!$K:$K,ANALISA!$AA31, statement!$A:$A,U$6)</f>
        <v>0</v>
      </c>
      <c r="V33" s="118">
        <f>SUMIFS(statement!$J:$J,statement!$K:$K,ANALISA!$AA31, statement!$A:$A,V$6)</f>
        <v>0</v>
      </c>
      <c r="W33" s="118">
        <f>SUMIFS(statement!$J:$J,statement!$K:$K,ANALISA!$AA31, statement!$A:$A,W$6)</f>
        <v>0</v>
      </c>
      <c r="X33" s="118">
        <f>SUMIFS(statement!$J:$J,statement!$K:$K,ANALISA!$AA31, statement!$A:$A,X$6)</f>
        <v>0</v>
      </c>
      <c r="Y33" s="118">
        <f>SUMIFS(statement!$J:$J,statement!$K:$K,ANALISA!$AA31, statement!$A:$A,Y$6)</f>
        <v>0</v>
      </c>
      <c r="Z33" s="118">
        <f>SUMIFS(statement!$J:$J,statement!$K:$K,ANALISA!$AA31, statement!$A:$A,Z$6)</f>
        <v>0</v>
      </c>
      <c r="AA33" s="118">
        <f>SUMIFS(statement!$J:$J,statement!$K:$K,ANALISA!$AA31, statement!$A:$A,AA$6)</f>
        <v>0</v>
      </c>
      <c r="AB33" s="118">
        <f>SUMIFS(statement!$J:$J,statement!$K:$K,ANALISA!$AA31, statement!$A:$A,AB$6)</f>
        <v>0</v>
      </c>
      <c r="AC33" s="118">
        <f>SUMIFS(statement!$J:$J,statement!$K:$K,ANALISA!$AA31, statement!$A:$A,AC$6)</f>
        <v>0</v>
      </c>
      <c r="AD33" s="118">
        <f>SUMIFS(statement!$J:$J,statement!$K:$K,ANALISA!$AA31, statement!$A:$A,AD$6)</f>
        <v>0</v>
      </c>
      <c r="AE33" s="118">
        <f>SUMIFS(statement!$J:$J,statement!$K:$K,ANALISA!$AA31, statement!$A:$A,AE$6)</f>
        <v>0</v>
      </c>
      <c r="AF33" s="118">
        <f>SUMIFS(statement!$J:$J,statement!$K:$K,ANALISA!$AA31, statement!$A:$A,AF$6)</f>
        <v>0</v>
      </c>
      <c r="AG33" s="118">
        <f>SUMIFS(statement!$J:$J,statement!$K:$K,ANALISA!$AA31, statement!$A:$A,AG$6)</f>
        <v>0</v>
      </c>
      <c r="AH33" s="118">
        <f>SUMIFS(statement!$J:$J,statement!$K:$K,ANALISA!$AA31, statement!$A:$A,AH$6)</f>
        <v>0</v>
      </c>
      <c r="AI33" s="118">
        <f>SUMIFS(statement!$J:$J,statement!$K:$K,ANALISA!$AA31, statement!$A:$A,AI$6)</f>
        <v>0</v>
      </c>
      <c r="AJ33" s="124">
        <f>ANALISA!AB31</f>
        <v>0</v>
      </c>
      <c r="AK33" s="125">
        <f t="shared" si="0"/>
        <v>0</v>
      </c>
      <c r="AL33" s="126" t="str">
        <f>IF(SUMIF(statement!$K:$K,ANALISA!AA31,statement!$J:$J)=AK33,"MATCH","UNMATCH")</f>
        <v>MATCH</v>
      </c>
      <c r="AM33" s="104">
        <f>AK33-ANALISA!R31</f>
        <v>0</v>
      </c>
      <c r="AN33" s="104"/>
      <c r="AO33" s="104"/>
      <c r="AP33" s="97"/>
      <c r="AR33" s="127"/>
      <c r="AS33" s="104"/>
      <c r="AT33" s="127"/>
      <c r="AU33" s="128"/>
      <c r="AV33" s="97"/>
      <c r="AW33" s="97"/>
      <c r="AX33" s="129"/>
      <c r="AY33" s="130"/>
      <c r="BA33" s="97"/>
      <c r="BB33" s="98"/>
      <c r="BC33" s="97"/>
      <c r="BE33" s="97"/>
      <c r="BF33" s="97"/>
      <c r="BG33" s="97"/>
      <c r="BI33" s="130"/>
      <c r="BJ33" s="130"/>
    </row>
    <row r="34" spans="2:62" ht="19.5" customHeight="1" x14ac:dyDescent="0.3">
      <c r="B34" s="123">
        <f>ANALISA!C32</f>
        <v>46290</v>
      </c>
      <c r="C34" s="118">
        <f>SUMIFS(statement!$J:$J,statement!$K:$K,ANALISA!$AA32, statement!$A:$A,C$6)</f>
        <v>0</v>
      </c>
      <c r="D34" s="118">
        <f>SUMIFS(statement!$J:$J,statement!$K:$K,ANALISA!$AA32, statement!$A:$A,D$6)</f>
        <v>0</v>
      </c>
      <c r="E34" s="118">
        <f>SUMIFS(statement!$J:$J,statement!$K:$K,ANALISA!$AA32, statement!$A:$A,E$6)</f>
        <v>0</v>
      </c>
      <c r="F34" s="118">
        <f>SUMIFS(statement!$J:$J,statement!$K:$K,ANALISA!$AA32, statement!$A:$A,F$6)</f>
        <v>0</v>
      </c>
      <c r="G34" s="118">
        <f>SUMIFS(statement!$J:$J,statement!$K:$K,ANALISA!$AA32, statement!$A:$A,G$6)</f>
        <v>0</v>
      </c>
      <c r="H34" s="118">
        <f>SUMIFS(statement!$J:$J,statement!$K:$K,ANALISA!$AA32, statement!$A:$A,H$6)</f>
        <v>0</v>
      </c>
      <c r="I34" s="118">
        <f>SUMIFS(statement!$J:$J,statement!$K:$K,ANALISA!$AA32, statement!$A:$A,I$6)</f>
        <v>0</v>
      </c>
      <c r="J34" s="118">
        <f>SUMIFS(statement!$J:$J,statement!$K:$K,ANALISA!$AA32, statement!$A:$A,J$6)</f>
        <v>0</v>
      </c>
      <c r="K34" s="118">
        <f>SUMIFS(statement!$J:$J,statement!$K:$K,ANALISA!$AA32, statement!$A:$A,K$6)</f>
        <v>0</v>
      </c>
      <c r="L34" s="118">
        <f>SUMIFS(statement!$J:$J,statement!$K:$K,ANALISA!$AA32, statement!$A:$A,L$6)</f>
        <v>0</v>
      </c>
      <c r="M34" s="118">
        <f>SUMIFS(statement!$J:$J,statement!$K:$K,ANALISA!$AA32, statement!$A:$A,M$6)</f>
        <v>0</v>
      </c>
      <c r="N34" s="118">
        <f>SUMIFS(statement!$J:$J,statement!$K:$K,ANALISA!$AA32, statement!$A:$A,N$6)</f>
        <v>0</v>
      </c>
      <c r="O34" s="118">
        <f>SUMIFS(statement!$J:$J,statement!$K:$K,ANALISA!$AA32, statement!$A:$A,O$6)</f>
        <v>0</v>
      </c>
      <c r="P34" s="118">
        <f>SUMIFS(statement!$J:$J,statement!$K:$K,ANALISA!$AA32, statement!$A:$A,P$6)</f>
        <v>0</v>
      </c>
      <c r="Q34" s="118">
        <f>SUMIFS(statement!$J:$J,statement!$K:$K,ANALISA!$AA32, statement!$A:$A,Q$6)</f>
        <v>0</v>
      </c>
      <c r="R34" s="118">
        <f>SUMIFS(statement!$J:$J,statement!$K:$K,ANALISA!$AA32, statement!$A:$A,R$6)</f>
        <v>0</v>
      </c>
      <c r="S34" s="118">
        <f>SUMIFS(statement!$J:$J,statement!$K:$K,ANALISA!$AA32, statement!$A:$A,S$6)</f>
        <v>0</v>
      </c>
      <c r="T34" s="118">
        <f>SUMIFS(statement!$J:$J,statement!$K:$K,ANALISA!$AA32, statement!$A:$A,T$6)</f>
        <v>0</v>
      </c>
      <c r="U34" s="118">
        <f>SUMIFS(statement!$J:$J,statement!$K:$K,ANALISA!$AA32, statement!$A:$A,U$6)</f>
        <v>0</v>
      </c>
      <c r="V34" s="118">
        <f>SUMIFS(statement!$J:$J,statement!$K:$K,ANALISA!$AA32, statement!$A:$A,V$6)</f>
        <v>0</v>
      </c>
      <c r="W34" s="118">
        <f>SUMIFS(statement!$J:$J,statement!$K:$K,ANALISA!$AA32, statement!$A:$A,W$6)</f>
        <v>0</v>
      </c>
      <c r="X34" s="118">
        <f>SUMIFS(statement!$J:$J,statement!$K:$K,ANALISA!$AA32, statement!$A:$A,X$6)</f>
        <v>0</v>
      </c>
      <c r="Y34" s="118">
        <f>SUMIFS(statement!$J:$J,statement!$K:$K,ANALISA!$AA32, statement!$A:$A,Y$6)</f>
        <v>0</v>
      </c>
      <c r="Z34" s="118">
        <f>SUMIFS(statement!$J:$J,statement!$K:$K,ANALISA!$AA32, statement!$A:$A,Z$6)</f>
        <v>0</v>
      </c>
      <c r="AA34" s="118">
        <f>SUMIFS(statement!$J:$J,statement!$K:$K,ANALISA!$AA32, statement!$A:$A,AA$6)</f>
        <v>0</v>
      </c>
      <c r="AB34" s="118">
        <f>SUMIFS(statement!$J:$J,statement!$K:$K,ANALISA!$AA32, statement!$A:$A,AB$6)</f>
        <v>0</v>
      </c>
      <c r="AC34" s="118">
        <f>SUMIFS(statement!$J:$J,statement!$K:$K,ANALISA!$AA32, statement!$A:$A,AC$6)</f>
        <v>0</v>
      </c>
      <c r="AD34" s="118">
        <f>SUMIFS(statement!$J:$J,statement!$K:$K,ANALISA!$AA32, statement!$A:$A,AD$6)</f>
        <v>0</v>
      </c>
      <c r="AE34" s="118">
        <f>SUMIFS(statement!$J:$J,statement!$K:$K,ANALISA!$AA32, statement!$A:$A,AE$6)</f>
        <v>0</v>
      </c>
      <c r="AF34" s="118">
        <f>SUMIFS(statement!$J:$J,statement!$K:$K,ANALISA!$AA32, statement!$A:$A,AF$6)</f>
        <v>0</v>
      </c>
      <c r="AG34" s="118">
        <f>SUMIFS(statement!$J:$J,statement!$K:$K,ANALISA!$AA32, statement!$A:$A,AG$6)</f>
        <v>0</v>
      </c>
      <c r="AH34" s="118">
        <f>SUMIFS(statement!$J:$J,statement!$K:$K,ANALISA!$AA32, statement!$A:$A,AH$6)</f>
        <v>0</v>
      </c>
      <c r="AI34" s="118">
        <f>SUMIFS(statement!$J:$J,statement!$K:$K,ANALISA!$AA32, statement!$A:$A,AI$6)</f>
        <v>0</v>
      </c>
      <c r="AJ34" s="124">
        <f>ANALISA!AB32</f>
        <v>0</v>
      </c>
      <c r="AK34" s="125">
        <f t="shared" si="0"/>
        <v>0</v>
      </c>
      <c r="AL34" s="126" t="str">
        <f>IF(SUMIF(statement!$K:$K,ANALISA!AA32,statement!$J:$J)=AK34,"MATCH","UNMATCH")</f>
        <v>MATCH</v>
      </c>
      <c r="AM34" s="104">
        <f>AK34-ANALISA!R32</f>
        <v>0</v>
      </c>
      <c r="AN34" s="104"/>
      <c r="AO34" s="104"/>
      <c r="AP34" s="97"/>
      <c r="AR34" s="127"/>
      <c r="AS34" s="104"/>
      <c r="AT34" s="127"/>
      <c r="AU34" s="128"/>
      <c r="AV34" s="97"/>
      <c r="AW34" s="97"/>
      <c r="AX34" s="129"/>
      <c r="AY34" s="130"/>
      <c r="BA34" s="97"/>
      <c r="BB34" s="98"/>
      <c r="BC34" s="97"/>
      <c r="BE34" s="97"/>
      <c r="BF34" s="97"/>
      <c r="BG34" s="97"/>
      <c r="BI34" s="130"/>
      <c r="BJ34" s="130"/>
    </row>
    <row r="35" spans="2:62" ht="19.5" customHeight="1" x14ac:dyDescent="0.3">
      <c r="B35" s="123">
        <f>ANALISA!C33</f>
        <v>46291</v>
      </c>
      <c r="C35" s="118">
        <f>SUMIFS(statement!$J:$J,statement!$K:$K,ANALISA!$AA33, statement!$A:$A,C$6)</f>
        <v>0</v>
      </c>
      <c r="D35" s="118">
        <f>SUMIFS(statement!$J:$J,statement!$K:$K,ANALISA!$AA33, statement!$A:$A,D$6)</f>
        <v>0</v>
      </c>
      <c r="E35" s="118">
        <f>SUMIFS(statement!$J:$J,statement!$K:$K,ANALISA!$AA33, statement!$A:$A,E$6)</f>
        <v>0</v>
      </c>
      <c r="F35" s="118">
        <f>SUMIFS(statement!$J:$J,statement!$K:$K,ANALISA!$AA33, statement!$A:$A,F$6)</f>
        <v>0</v>
      </c>
      <c r="G35" s="118">
        <f>SUMIFS(statement!$J:$J,statement!$K:$K,ANALISA!$AA33, statement!$A:$A,G$6)</f>
        <v>0</v>
      </c>
      <c r="H35" s="118">
        <f>SUMIFS(statement!$J:$J,statement!$K:$K,ANALISA!$AA33, statement!$A:$A,H$6)</f>
        <v>0</v>
      </c>
      <c r="I35" s="118">
        <f>SUMIFS(statement!$J:$J,statement!$K:$K,ANALISA!$AA33, statement!$A:$A,I$6)</f>
        <v>0</v>
      </c>
      <c r="J35" s="118">
        <f>SUMIFS(statement!$J:$J,statement!$K:$K,ANALISA!$AA33, statement!$A:$A,J$6)</f>
        <v>0</v>
      </c>
      <c r="K35" s="118">
        <f>SUMIFS(statement!$J:$J,statement!$K:$K,ANALISA!$AA33, statement!$A:$A,K$6)</f>
        <v>0</v>
      </c>
      <c r="L35" s="118">
        <f>SUMIFS(statement!$J:$J,statement!$K:$K,ANALISA!$AA33, statement!$A:$A,L$6)</f>
        <v>0</v>
      </c>
      <c r="M35" s="118">
        <f>SUMIFS(statement!$J:$J,statement!$K:$K,ANALISA!$AA33, statement!$A:$A,M$6)</f>
        <v>0</v>
      </c>
      <c r="N35" s="118">
        <f>SUMIFS(statement!$J:$J,statement!$K:$K,ANALISA!$AA33, statement!$A:$A,N$6)</f>
        <v>0</v>
      </c>
      <c r="O35" s="118">
        <f>SUMIFS(statement!$J:$J,statement!$K:$K,ANALISA!$AA33, statement!$A:$A,O$6)</f>
        <v>0</v>
      </c>
      <c r="P35" s="118">
        <f>SUMIFS(statement!$J:$J,statement!$K:$K,ANALISA!$AA33, statement!$A:$A,P$6)</f>
        <v>0</v>
      </c>
      <c r="Q35" s="118">
        <f>SUMIFS(statement!$J:$J,statement!$K:$K,ANALISA!$AA33, statement!$A:$A,Q$6)</f>
        <v>0</v>
      </c>
      <c r="R35" s="118">
        <f>SUMIFS(statement!$J:$J,statement!$K:$K,ANALISA!$AA33, statement!$A:$A,R$6)</f>
        <v>0</v>
      </c>
      <c r="S35" s="118">
        <f>SUMIFS(statement!$J:$J,statement!$K:$K,ANALISA!$AA33, statement!$A:$A,S$6)</f>
        <v>0</v>
      </c>
      <c r="T35" s="118">
        <f>SUMIFS(statement!$J:$J,statement!$K:$K,ANALISA!$AA33, statement!$A:$A,T$6)</f>
        <v>0</v>
      </c>
      <c r="U35" s="118">
        <f>SUMIFS(statement!$J:$J,statement!$K:$K,ANALISA!$AA33, statement!$A:$A,U$6)</f>
        <v>0</v>
      </c>
      <c r="V35" s="118">
        <f>SUMIFS(statement!$J:$J,statement!$K:$K,ANALISA!$AA33, statement!$A:$A,V$6)</f>
        <v>0</v>
      </c>
      <c r="W35" s="118">
        <f>SUMIFS(statement!$J:$J,statement!$K:$K,ANALISA!$AA33, statement!$A:$A,W$6)</f>
        <v>0</v>
      </c>
      <c r="X35" s="118">
        <f>SUMIFS(statement!$J:$J,statement!$K:$K,ANALISA!$AA33, statement!$A:$A,X$6)</f>
        <v>0</v>
      </c>
      <c r="Y35" s="118">
        <f>SUMIFS(statement!$J:$J,statement!$K:$K,ANALISA!$AA33, statement!$A:$A,Y$6)</f>
        <v>0</v>
      </c>
      <c r="Z35" s="118">
        <f>SUMIFS(statement!$J:$J,statement!$K:$K,ANALISA!$AA33, statement!$A:$A,Z$6)</f>
        <v>0</v>
      </c>
      <c r="AA35" s="118">
        <f>SUMIFS(statement!$J:$J,statement!$K:$K,ANALISA!$AA33, statement!$A:$A,AA$6)</f>
        <v>0</v>
      </c>
      <c r="AB35" s="118">
        <f>SUMIFS(statement!$J:$J,statement!$K:$K,ANALISA!$AA33, statement!$A:$A,AB$6)</f>
        <v>0</v>
      </c>
      <c r="AC35" s="118">
        <f>SUMIFS(statement!$J:$J,statement!$K:$K,ANALISA!$AA33, statement!$A:$A,AC$6)</f>
        <v>0</v>
      </c>
      <c r="AD35" s="118">
        <f>SUMIFS(statement!$J:$J,statement!$K:$K,ANALISA!$AA33, statement!$A:$A,AD$6)</f>
        <v>0</v>
      </c>
      <c r="AE35" s="118">
        <f>SUMIFS(statement!$J:$J,statement!$K:$K,ANALISA!$AA33, statement!$A:$A,AE$6)</f>
        <v>0</v>
      </c>
      <c r="AF35" s="118">
        <f>SUMIFS(statement!$J:$J,statement!$K:$K,ANALISA!$AA33, statement!$A:$A,AF$6)</f>
        <v>0</v>
      </c>
      <c r="AG35" s="118">
        <f>SUMIFS(statement!$J:$J,statement!$K:$K,ANALISA!$AA33, statement!$A:$A,AG$6)</f>
        <v>0</v>
      </c>
      <c r="AH35" s="118">
        <f>SUMIFS(statement!$J:$J,statement!$K:$K,ANALISA!$AA33, statement!$A:$A,AH$6)</f>
        <v>0</v>
      </c>
      <c r="AI35" s="118">
        <f>SUMIFS(statement!$J:$J,statement!$K:$K,ANALISA!$AA33, statement!$A:$A,AI$6)</f>
        <v>0</v>
      </c>
      <c r="AJ35" s="124">
        <f>ANALISA!AB33</f>
        <v>0</v>
      </c>
      <c r="AK35" s="125">
        <f t="shared" si="0"/>
        <v>0</v>
      </c>
      <c r="AL35" s="126" t="str">
        <f>IF(SUMIF(statement!$K:$K,ANALISA!AA33,statement!$J:$J)=AK35,"MATCH","UNMATCH")</f>
        <v>MATCH</v>
      </c>
      <c r="AM35" s="104">
        <f>AK35-ANALISA!R33</f>
        <v>0</v>
      </c>
      <c r="AN35" s="104"/>
      <c r="AO35" s="104"/>
      <c r="AP35" s="97"/>
      <c r="AR35" s="127"/>
      <c r="AS35" s="104"/>
      <c r="AT35" s="127"/>
      <c r="AU35" s="128"/>
      <c r="AV35" s="97"/>
      <c r="AW35" s="97"/>
      <c r="AX35" s="129"/>
      <c r="AY35" s="130"/>
      <c r="BA35" s="97"/>
      <c r="BB35" s="98"/>
      <c r="BC35" s="97"/>
      <c r="BE35" s="97"/>
      <c r="BF35" s="97"/>
      <c r="BG35" s="97"/>
      <c r="BI35" s="130"/>
      <c r="BJ35" s="130"/>
    </row>
    <row r="36" spans="2:62" ht="19.5" customHeight="1" x14ac:dyDescent="0.3">
      <c r="B36" s="123">
        <f>ANALISA!C34</f>
        <v>46292</v>
      </c>
      <c r="C36" s="118">
        <f>SUMIFS(statement!$J:$J,statement!$K:$K,ANALISA!$AA34, statement!$A:$A,C$6)</f>
        <v>0</v>
      </c>
      <c r="D36" s="118">
        <f>SUMIFS(statement!$J:$J,statement!$K:$K,ANALISA!$AA34, statement!$A:$A,D$6)</f>
        <v>0</v>
      </c>
      <c r="E36" s="118">
        <f>SUMIFS(statement!$J:$J,statement!$K:$K,ANALISA!$AA34, statement!$A:$A,E$6)</f>
        <v>0</v>
      </c>
      <c r="F36" s="118">
        <f>SUMIFS(statement!$J:$J,statement!$K:$K,ANALISA!$AA34, statement!$A:$A,F$6)</f>
        <v>0</v>
      </c>
      <c r="G36" s="118">
        <f>SUMIFS(statement!$J:$J,statement!$K:$K,ANALISA!$AA34, statement!$A:$A,G$6)</f>
        <v>0</v>
      </c>
      <c r="H36" s="118">
        <f>SUMIFS(statement!$J:$J,statement!$K:$K,ANALISA!$AA34, statement!$A:$A,H$6)</f>
        <v>0</v>
      </c>
      <c r="I36" s="118">
        <f>SUMIFS(statement!$J:$J,statement!$K:$K,ANALISA!$AA34, statement!$A:$A,I$6)</f>
        <v>0</v>
      </c>
      <c r="J36" s="118">
        <f>SUMIFS(statement!$J:$J,statement!$K:$K,ANALISA!$AA34, statement!$A:$A,J$6)</f>
        <v>0</v>
      </c>
      <c r="K36" s="118">
        <f>SUMIFS(statement!$J:$J,statement!$K:$K,ANALISA!$AA34, statement!$A:$A,K$6)</f>
        <v>0</v>
      </c>
      <c r="L36" s="118">
        <f>SUMIFS(statement!$J:$J,statement!$K:$K,ANALISA!$AA34, statement!$A:$A,L$6)</f>
        <v>0</v>
      </c>
      <c r="M36" s="118">
        <f>SUMIFS(statement!$J:$J,statement!$K:$K,ANALISA!$AA34, statement!$A:$A,M$6)</f>
        <v>0</v>
      </c>
      <c r="N36" s="118">
        <f>SUMIFS(statement!$J:$J,statement!$K:$K,ANALISA!$AA34, statement!$A:$A,N$6)</f>
        <v>0</v>
      </c>
      <c r="O36" s="118">
        <f>SUMIFS(statement!$J:$J,statement!$K:$K,ANALISA!$AA34, statement!$A:$A,O$6)</f>
        <v>0</v>
      </c>
      <c r="P36" s="118">
        <f>SUMIFS(statement!$J:$J,statement!$K:$K,ANALISA!$AA34, statement!$A:$A,P$6)</f>
        <v>0</v>
      </c>
      <c r="Q36" s="118">
        <f>SUMIFS(statement!$J:$J,statement!$K:$K,ANALISA!$AA34, statement!$A:$A,Q$6)</f>
        <v>0</v>
      </c>
      <c r="R36" s="118">
        <f>SUMIFS(statement!$J:$J,statement!$K:$K,ANALISA!$AA34, statement!$A:$A,R$6)</f>
        <v>0</v>
      </c>
      <c r="S36" s="118">
        <f>SUMIFS(statement!$J:$J,statement!$K:$K,ANALISA!$AA34, statement!$A:$A,S$6)</f>
        <v>0</v>
      </c>
      <c r="T36" s="118">
        <f>SUMIFS(statement!$J:$J,statement!$K:$K,ANALISA!$AA34, statement!$A:$A,T$6)</f>
        <v>0</v>
      </c>
      <c r="U36" s="118">
        <f>SUMIFS(statement!$J:$J,statement!$K:$K,ANALISA!$AA34, statement!$A:$A,U$6)</f>
        <v>0</v>
      </c>
      <c r="V36" s="118">
        <f>SUMIFS(statement!$J:$J,statement!$K:$K,ANALISA!$AA34, statement!$A:$A,V$6)</f>
        <v>0</v>
      </c>
      <c r="W36" s="118">
        <f>SUMIFS(statement!$J:$J,statement!$K:$K,ANALISA!$AA34, statement!$A:$A,W$6)</f>
        <v>0</v>
      </c>
      <c r="X36" s="118">
        <f>SUMIFS(statement!$J:$J,statement!$K:$K,ANALISA!$AA34, statement!$A:$A,X$6)</f>
        <v>0</v>
      </c>
      <c r="Y36" s="118">
        <f>SUMIFS(statement!$J:$J,statement!$K:$K,ANALISA!$AA34, statement!$A:$A,Y$6)</f>
        <v>0</v>
      </c>
      <c r="Z36" s="118">
        <f>SUMIFS(statement!$J:$J,statement!$K:$K,ANALISA!$AA34, statement!$A:$A,Z$6)</f>
        <v>0</v>
      </c>
      <c r="AA36" s="118">
        <f>SUMIFS(statement!$J:$J,statement!$K:$K,ANALISA!$AA34, statement!$A:$A,AA$6)</f>
        <v>0</v>
      </c>
      <c r="AB36" s="118">
        <f>SUMIFS(statement!$J:$J,statement!$K:$K,ANALISA!$AA34, statement!$A:$A,AB$6)</f>
        <v>0</v>
      </c>
      <c r="AC36" s="118">
        <f>SUMIFS(statement!$J:$J,statement!$K:$K,ANALISA!$AA34, statement!$A:$A,AC$6)</f>
        <v>0</v>
      </c>
      <c r="AD36" s="118">
        <f>SUMIFS(statement!$J:$J,statement!$K:$K,ANALISA!$AA34, statement!$A:$A,AD$6)</f>
        <v>0</v>
      </c>
      <c r="AE36" s="118">
        <f>SUMIFS(statement!$J:$J,statement!$K:$K,ANALISA!$AA34, statement!$A:$A,AE$6)</f>
        <v>0</v>
      </c>
      <c r="AF36" s="118">
        <f>SUMIFS(statement!$J:$J,statement!$K:$K,ANALISA!$AA34, statement!$A:$A,AF$6)</f>
        <v>0</v>
      </c>
      <c r="AG36" s="118">
        <f>SUMIFS(statement!$J:$J,statement!$K:$K,ANALISA!$AA34, statement!$A:$A,AG$6)</f>
        <v>0</v>
      </c>
      <c r="AH36" s="118">
        <f>SUMIFS(statement!$J:$J,statement!$K:$K,ANALISA!$AA34, statement!$A:$A,AH$6)</f>
        <v>0</v>
      </c>
      <c r="AI36" s="118">
        <f>SUMIFS(statement!$J:$J,statement!$K:$K,ANALISA!$AA34, statement!$A:$A,AI$6)</f>
        <v>0</v>
      </c>
      <c r="AJ36" s="124">
        <f>ANALISA!AB34</f>
        <v>0</v>
      </c>
      <c r="AK36" s="125">
        <f t="shared" si="0"/>
        <v>0</v>
      </c>
      <c r="AL36" s="126" t="str">
        <f>IF(SUMIF(statement!$K:$K,ANALISA!AA34,statement!$J:$J)=AK36,"MATCH","UNMATCH")</f>
        <v>MATCH</v>
      </c>
      <c r="AM36" s="104">
        <f>AK36-ANALISA!R34</f>
        <v>0</v>
      </c>
      <c r="AN36" s="104"/>
      <c r="AO36" s="104"/>
      <c r="AP36" s="97"/>
      <c r="AR36" s="127"/>
      <c r="AS36" s="134"/>
      <c r="AT36" s="127"/>
      <c r="AU36" s="128"/>
      <c r="AV36" s="97"/>
      <c r="AW36" s="97"/>
      <c r="AX36" s="129"/>
      <c r="AY36" s="130"/>
      <c r="BA36" s="97"/>
      <c r="BB36" s="98"/>
      <c r="BC36" s="97"/>
      <c r="BE36" s="97"/>
      <c r="BF36" s="97"/>
      <c r="BG36" s="97"/>
      <c r="BI36" s="130"/>
      <c r="BJ36" s="130"/>
    </row>
    <row r="37" spans="2:62" ht="19.5" customHeight="1" x14ac:dyDescent="0.3">
      <c r="B37" s="123">
        <f>ANALISA!C35</f>
        <v>46293</v>
      </c>
      <c r="C37" s="118">
        <f>SUMIFS(statement!$J:$J,statement!$K:$K,ANALISA!$AA35, statement!$A:$A,C$6)</f>
        <v>0</v>
      </c>
      <c r="D37" s="118">
        <f>SUMIFS(statement!$J:$J,statement!$K:$K,ANALISA!$AA35, statement!$A:$A,D$6)</f>
        <v>0</v>
      </c>
      <c r="E37" s="118">
        <f>SUMIFS(statement!$J:$J,statement!$K:$K,ANALISA!$AA35, statement!$A:$A,E$6)</f>
        <v>0</v>
      </c>
      <c r="F37" s="118">
        <f>SUMIFS(statement!$J:$J,statement!$K:$K,ANALISA!$AA35, statement!$A:$A,F$6)</f>
        <v>0</v>
      </c>
      <c r="G37" s="118">
        <f>SUMIFS(statement!$J:$J,statement!$K:$K,ANALISA!$AA35, statement!$A:$A,G$6)</f>
        <v>0</v>
      </c>
      <c r="H37" s="118">
        <f>SUMIFS(statement!$J:$J,statement!$K:$K,ANALISA!$AA35, statement!$A:$A,H$6)</f>
        <v>0</v>
      </c>
      <c r="I37" s="118">
        <f>SUMIFS(statement!$J:$J,statement!$K:$K,ANALISA!$AA35, statement!$A:$A,I$6)</f>
        <v>0</v>
      </c>
      <c r="J37" s="118">
        <f>SUMIFS(statement!$J:$J,statement!$K:$K,ANALISA!$AA35, statement!$A:$A,J$6)</f>
        <v>0</v>
      </c>
      <c r="K37" s="118">
        <f>SUMIFS(statement!$J:$J,statement!$K:$K,ANALISA!$AA35, statement!$A:$A,K$6)</f>
        <v>0</v>
      </c>
      <c r="L37" s="118">
        <f>SUMIFS(statement!$J:$J,statement!$K:$K,ANALISA!$AA35, statement!$A:$A,L$6)</f>
        <v>0</v>
      </c>
      <c r="M37" s="118">
        <f>SUMIFS(statement!$J:$J,statement!$K:$K,ANALISA!$AA35, statement!$A:$A,M$6)</f>
        <v>0</v>
      </c>
      <c r="N37" s="118">
        <f>SUMIFS(statement!$J:$J,statement!$K:$K,ANALISA!$AA35, statement!$A:$A,N$6)</f>
        <v>0</v>
      </c>
      <c r="O37" s="118">
        <f>SUMIFS(statement!$J:$J,statement!$K:$K,ANALISA!$AA35, statement!$A:$A,O$6)</f>
        <v>0</v>
      </c>
      <c r="P37" s="118">
        <f>SUMIFS(statement!$J:$J,statement!$K:$K,ANALISA!$AA35, statement!$A:$A,P$6)</f>
        <v>0</v>
      </c>
      <c r="Q37" s="118">
        <f>SUMIFS(statement!$J:$J,statement!$K:$K,ANALISA!$AA35, statement!$A:$A,Q$6)</f>
        <v>0</v>
      </c>
      <c r="R37" s="118">
        <f>SUMIFS(statement!$J:$J,statement!$K:$K,ANALISA!$AA35, statement!$A:$A,R$6)</f>
        <v>0</v>
      </c>
      <c r="S37" s="118">
        <f>SUMIFS(statement!$J:$J,statement!$K:$K,ANALISA!$AA35, statement!$A:$A,S$6)</f>
        <v>0</v>
      </c>
      <c r="T37" s="118">
        <f>SUMIFS(statement!$J:$J,statement!$K:$K,ANALISA!$AA35, statement!$A:$A,T$6)</f>
        <v>0</v>
      </c>
      <c r="U37" s="118">
        <f>SUMIFS(statement!$J:$J,statement!$K:$K,ANALISA!$AA35, statement!$A:$A,U$6)</f>
        <v>0</v>
      </c>
      <c r="V37" s="118">
        <f>SUMIFS(statement!$J:$J,statement!$K:$K,ANALISA!$AA35, statement!$A:$A,V$6)</f>
        <v>0</v>
      </c>
      <c r="W37" s="118">
        <f>SUMIFS(statement!$J:$J,statement!$K:$K,ANALISA!$AA35, statement!$A:$A,W$6)</f>
        <v>0</v>
      </c>
      <c r="X37" s="118">
        <f>SUMIFS(statement!$J:$J,statement!$K:$K,ANALISA!$AA35, statement!$A:$A,X$6)</f>
        <v>0</v>
      </c>
      <c r="Y37" s="118">
        <f>SUMIFS(statement!$J:$J,statement!$K:$K,ANALISA!$AA35, statement!$A:$A,Y$6)</f>
        <v>0</v>
      </c>
      <c r="Z37" s="118">
        <f>SUMIFS(statement!$J:$J,statement!$K:$K,ANALISA!$AA35, statement!$A:$A,Z$6)</f>
        <v>0</v>
      </c>
      <c r="AA37" s="118">
        <f>SUMIFS(statement!$J:$J,statement!$K:$K,ANALISA!$AA35, statement!$A:$A,AA$6)</f>
        <v>0</v>
      </c>
      <c r="AB37" s="118">
        <f>SUMIFS(statement!$J:$J,statement!$K:$K,ANALISA!$AA35, statement!$A:$A,AB$6)</f>
        <v>0</v>
      </c>
      <c r="AC37" s="118">
        <f>SUMIFS(statement!$J:$J,statement!$K:$K,ANALISA!$AA35, statement!$A:$A,AC$6)</f>
        <v>0</v>
      </c>
      <c r="AD37" s="118">
        <f>SUMIFS(statement!$J:$J,statement!$K:$K,ANALISA!$AA35, statement!$A:$A,AD$6)</f>
        <v>0</v>
      </c>
      <c r="AE37" s="118">
        <f>SUMIFS(statement!$J:$J,statement!$K:$K,ANALISA!$AA35, statement!$A:$A,AE$6)</f>
        <v>0</v>
      </c>
      <c r="AF37" s="118">
        <f>SUMIFS(statement!$J:$J,statement!$K:$K,ANALISA!$AA35, statement!$A:$A,AF$6)</f>
        <v>0</v>
      </c>
      <c r="AG37" s="118">
        <f>SUMIFS(statement!$J:$J,statement!$K:$K,ANALISA!$AA35, statement!$A:$A,AG$6)</f>
        <v>0</v>
      </c>
      <c r="AH37" s="118">
        <f>SUMIFS(statement!$J:$J,statement!$K:$K,ANALISA!$AA35, statement!$A:$A,AH$6)</f>
        <v>0</v>
      </c>
      <c r="AI37" s="118">
        <f>SUMIFS(statement!$J:$J,statement!$K:$K,ANALISA!$AA35, statement!$A:$A,AI$6)</f>
        <v>0</v>
      </c>
      <c r="AJ37" s="124">
        <f>ANALISA!AB35</f>
        <v>0</v>
      </c>
      <c r="AK37" s="125">
        <f t="shared" si="0"/>
        <v>0</v>
      </c>
      <c r="AL37" s="126" t="str">
        <f>IF(SUMIF(statement!$K:$K,ANALISA!AA35,statement!$J:$J)=AK37,"MATCH","UNMATCH")</f>
        <v>MATCH</v>
      </c>
      <c r="AM37" s="104">
        <f>AK37-ANALISA!R35</f>
        <v>0</v>
      </c>
      <c r="AN37" s="135"/>
      <c r="AO37" s="104"/>
      <c r="AP37" s="97"/>
      <c r="AR37" s="127"/>
      <c r="AS37" s="104"/>
      <c r="AT37" s="127"/>
      <c r="AU37" s="128"/>
      <c r="AV37" s="97"/>
      <c r="AW37" s="97"/>
      <c r="AX37" s="129"/>
      <c r="BA37" s="97"/>
      <c r="BB37" s="98"/>
      <c r="BC37" s="97"/>
      <c r="BE37" s="97"/>
      <c r="BF37" s="97"/>
      <c r="BG37" s="97"/>
      <c r="BI37" s="130"/>
      <c r="BJ37" s="130"/>
    </row>
    <row r="38" spans="2:62" s="96" customFormat="1" ht="19.5" customHeight="1" x14ac:dyDescent="0.3">
      <c r="B38" s="123">
        <f>ANALISA!C36</f>
        <v>46294</v>
      </c>
      <c r="C38" s="118">
        <f>SUMIFS(statement!$J:$J,statement!$K:$K,ANALISA!$AA36, statement!$A:$A,C$6)</f>
        <v>0</v>
      </c>
      <c r="D38" s="118">
        <f>SUMIFS(statement!$J:$J,statement!$K:$K,ANALISA!$AA36, statement!$A:$A,D$6)</f>
        <v>0</v>
      </c>
      <c r="E38" s="118">
        <f>SUMIFS(statement!$J:$J,statement!$K:$K,ANALISA!$AA36, statement!$A:$A,E$6)</f>
        <v>0</v>
      </c>
      <c r="F38" s="118">
        <f>SUMIFS(statement!$J:$J,statement!$K:$K,ANALISA!$AA36, statement!$A:$A,F$6)</f>
        <v>0</v>
      </c>
      <c r="G38" s="118">
        <f>SUMIFS(statement!$J:$J,statement!$K:$K,ANALISA!$AA36, statement!$A:$A,G$6)</f>
        <v>0</v>
      </c>
      <c r="H38" s="118">
        <f>SUMIFS(statement!$J:$J,statement!$K:$K,ANALISA!$AA36, statement!$A:$A,H$6)</f>
        <v>0</v>
      </c>
      <c r="I38" s="118">
        <f>SUMIFS(statement!$J:$J,statement!$K:$K,ANALISA!$AA36, statement!$A:$A,I$6)</f>
        <v>0</v>
      </c>
      <c r="J38" s="118">
        <f>SUMIFS(statement!$J:$J,statement!$K:$K,ANALISA!$AA36, statement!$A:$A,J$6)</f>
        <v>0</v>
      </c>
      <c r="K38" s="118">
        <f>SUMIFS(statement!$J:$J,statement!$K:$K,ANALISA!$AA36, statement!$A:$A,K$6)</f>
        <v>0</v>
      </c>
      <c r="L38" s="118">
        <f>SUMIFS(statement!$J:$J,statement!$K:$K,ANALISA!$AA36, statement!$A:$A,L$6)</f>
        <v>0</v>
      </c>
      <c r="M38" s="118">
        <f>SUMIFS(statement!$J:$J,statement!$K:$K,ANALISA!$AA36, statement!$A:$A,M$6)</f>
        <v>0</v>
      </c>
      <c r="N38" s="118">
        <f>SUMIFS(statement!$J:$J,statement!$K:$K,ANALISA!$AA36, statement!$A:$A,N$6)</f>
        <v>0</v>
      </c>
      <c r="O38" s="118">
        <f>SUMIFS(statement!$J:$J,statement!$K:$K,ANALISA!$AA36, statement!$A:$A,O$6)</f>
        <v>0</v>
      </c>
      <c r="P38" s="118">
        <f>SUMIFS(statement!$J:$J,statement!$K:$K,ANALISA!$AA36, statement!$A:$A,P$6)</f>
        <v>0</v>
      </c>
      <c r="Q38" s="118">
        <f>SUMIFS(statement!$J:$J,statement!$K:$K,ANALISA!$AA36, statement!$A:$A,Q$6)</f>
        <v>0</v>
      </c>
      <c r="R38" s="118">
        <f>SUMIFS(statement!$J:$J,statement!$K:$K,ANALISA!$AA36, statement!$A:$A,R$6)</f>
        <v>0</v>
      </c>
      <c r="S38" s="118">
        <f>SUMIFS(statement!$J:$J,statement!$K:$K,ANALISA!$AA36, statement!$A:$A,S$6)</f>
        <v>0</v>
      </c>
      <c r="T38" s="118">
        <f>SUMIFS(statement!$J:$J,statement!$K:$K,ANALISA!$AA36, statement!$A:$A,T$6)</f>
        <v>0</v>
      </c>
      <c r="U38" s="118">
        <f>SUMIFS(statement!$J:$J,statement!$K:$K,ANALISA!$AA36, statement!$A:$A,U$6)</f>
        <v>0</v>
      </c>
      <c r="V38" s="118">
        <f>SUMIFS(statement!$J:$J,statement!$K:$K,ANALISA!$AA36, statement!$A:$A,V$6)</f>
        <v>0</v>
      </c>
      <c r="W38" s="118">
        <f>SUMIFS(statement!$J:$J,statement!$K:$K,ANALISA!$AA36, statement!$A:$A,W$6)</f>
        <v>0</v>
      </c>
      <c r="X38" s="118">
        <f>SUMIFS(statement!$J:$J,statement!$K:$K,ANALISA!$AA36, statement!$A:$A,X$6)</f>
        <v>0</v>
      </c>
      <c r="Y38" s="118">
        <f>SUMIFS(statement!$J:$J,statement!$K:$K,ANALISA!$AA36, statement!$A:$A,Y$6)</f>
        <v>0</v>
      </c>
      <c r="Z38" s="118">
        <f>SUMIFS(statement!$J:$J,statement!$K:$K,ANALISA!$AA36, statement!$A:$A,Z$6)</f>
        <v>0</v>
      </c>
      <c r="AA38" s="118">
        <f>SUMIFS(statement!$J:$J,statement!$K:$K,ANALISA!$AA36, statement!$A:$A,AA$6)</f>
        <v>0</v>
      </c>
      <c r="AB38" s="118">
        <f>SUMIFS(statement!$J:$J,statement!$K:$K,ANALISA!$AA36, statement!$A:$A,AB$6)</f>
        <v>0</v>
      </c>
      <c r="AC38" s="118">
        <f>SUMIFS(statement!$J:$J,statement!$K:$K,ANALISA!$AA36, statement!$A:$A,AC$6)</f>
        <v>0</v>
      </c>
      <c r="AD38" s="118">
        <f>SUMIFS(statement!$J:$J,statement!$K:$K,ANALISA!$AA36, statement!$A:$A,AD$6)</f>
        <v>0</v>
      </c>
      <c r="AE38" s="118">
        <f>SUMIFS(statement!$J:$J,statement!$K:$K,ANALISA!$AA36, statement!$A:$A,AE$6)</f>
        <v>0</v>
      </c>
      <c r="AF38" s="118">
        <f>SUMIFS(statement!$J:$J,statement!$K:$K,ANALISA!$AA36, statement!$A:$A,AF$6)</f>
        <v>0</v>
      </c>
      <c r="AG38" s="118">
        <f>SUMIFS(statement!$J:$J,statement!$K:$K,ANALISA!$AA36, statement!$A:$A,AG$6)</f>
        <v>0</v>
      </c>
      <c r="AH38" s="118">
        <f>SUMIFS(statement!$J:$J,statement!$K:$K,ANALISA!$AA36, statement!$A:$A,AH$6)</f>
        <v>0</v>
      </c>
      <c r="AI38" s="118">
        <f>SUMIFS(statement!$J:$J,statement!$K:$K,ANALISA!$AA36, statement!$A:$A,AI$6)</f>
        <v>0</v>
      </c>
      <c r="AJ38" s="124">
        <f>ANALISA!AB36</f>
        <v>0</v>
      </c>
      <c r="AK38" s="125">
        <f t="shared" si="0"/>
        <v>0</v>
      </c>
      <c r="AL38" s="126" t="str">
        <f>IF(SUMIF(statement!$K:$K,ANALISA!AA36,statement!$J:$J)=AK38,"MATCH","UNMATCH")</f>
        <v>MATCH</v>
      </c>
      <c r="AM38" s="104">
        <f>AK38-ANALISA!R36</f>
        <v>0</v>
      </c>
      <c r="AN38" s="104"/>
      <c r="AO38" s="104"/>
      <c r="AP38" s="97"/>
      <c r="AQ38" s="97"/>
      <c r="AR38" s="127"/>
      <c r="AS38" s="104"/>
      <c r="AT38" s="127"/>
      <c r="AU38" s="128"/>
      <c r="AV38" s="97"/>
      <c r="AW38" s="97"/>
      <c r="AX38" s="129"/>
      <c r="BA38" s="97"/>
      <c r="BB38" s="98"/>
      <c r="BC38" s="97"/>
      <c r="BE38" s="97"/>
      <c r="BF38" s="97"/>
      <c r="BG38" s="97"/>
      <c r="BI38" s="130"/>
      <c r="BJ38" s="130"/>
    </row>
    <row r="39" spans="2:62" s="96" customFormat="1" ht="19.5" customHeight="1" x14ac:dyDescent="0.3">
      <c r="B39" s="123">
        <f>ANALISA!C37</f>
        <v>46295</v>
      </c>
      <c r="C39" s="118">
        <f>SUMIFS(statement!$J:$J,statement!$K:$K,ANALISA!$AA37, statement!$A:$A,C$6)</f>
        <v>0</v>
      </c>
      <c r="D39" s="118">
        <f>SUMIFS(statement!$J:$J,statement!$K:$K,ANALISA!$AA37, statement!$A:$A,D$6)</f>
        <v>0</v>
      </c>
      <c r="E39" s="118">
        <f>SUMIFS(statement!$J:$J,statement!$K:$K,ANALISA!$AA37, statement!$A:$A,E$6)</f>
        <v>0</v>
      </c>
      <c r="F39" s="118">
        <f>SUMIFS(statement!$J:$J,statement!$K:$K,ANALISA!$AA37, statement!$A:$A,F$6)</f>
        <v>0</v>
      </c>
      <c r="G39" s="118">
        <f>SUMIFS(statement!$J:$J,statement!$K:$K,ANALISA!$AA37, statement!$A:$A,G$6)</f>
        <v>0</v>
      </c>
      <c r="H39" s="118">
        <f>SUMIFS(statement!$J:$J,statement!$K:$K,ANALISA!$AA37, statement!$A:$A,H$6)</f>
        <v>0</v>
      </c>
      <c r="I39" s="118">
        <f>SUMIFS(statement!$J:$J,statement!$K:$K,ANALISA!$AA37, statement!$A:$A,I$6)</f>
        <v>0</v>
      </c>
      <c r="J39" s="118">
        <f>SUMIFS(statement!$J:$J,statement!$K:$K,ANALISA!$AA37, statement!$A:$A,J$6)</f>
        <v>0</v>
      </c>
      <c r="K39" s="118">
        <f>SUMIFS(statement!$J:$J,statement!$K:$K,ANALISA!$AA37, statement!$A:$A,K$6)</f>
        <v>0</v>
      </c>
      <c r="L39" s="118">
        <f>SUMIFS(statement!$J:$J,statement!$K:$K,ANALISA!$AA37, statement!$A:$A,L$6)</f>
        <v>0</v>
      </c>
      <c r="M39" s="118">
        <f>SUMIFS(statement!$J:$J,statement!$K:$K,ANALISA!$AA37, statement!$A:$A,M$6)</f>
        <v>0</v>
      </c>
      <c r="N39" s="118">
        <f>SUMIFS(statement!$J:$J,statement!$K:$K,ANALISA!$AA37, statement!$A:$A,N$6)</f>
        <v>0</v>
      </c>
      <c r="O39" s="118">
        <f>SUMIFS(statement!$J:$J,statement!$K:$K,ANALISA!$AA37, statement!$A:$A,O$6)</f>
        <v>0</v>
      </c>
      <c r="P39" s="118">
        <f>SUMIFS(statement!$J:$J,statement!$K:$K,ANALISA!$AA37, statement!$A:$A,P$6)</f>
        <v>0</v>
      </c>
      <c r="Q39" s="118">
        <f>SUMIFS(statement!$J:$J,statement!$K:$K,ANALISA!$AA37, statement!$A:$A,Q$6)</f>
        <v>0</v>
      </c>
      <c r="R39" s="118">
        <f>SUMIFS(statement!$J:$J,statement!$K:$K,ANALISA!$AA37, statement!$A:$A,R$6)</f>
        <v>0</v>
      </c>
      <c r="S39" s="118">
        <f>SUMIFS(statement!$J:$J,statement!$K:$K,ANALISA!$AA37, statement!$A:$A,S$6)</f>
        <v>0</v>
      </c>
      <c r="T39" s="118">
        <f>SUMIFS(statement!$J:$J,statement!$K:$K,ANALISA!$AA37, statement!$A:$A,T$6)</f>
        <v>0</v>
      </c>
      <c r="U39" s="118">
        <f>SUMIFS(statement!$J:$J,statement!$K:$K,ANALISA!$AA37, statement!$A:$A,U$6)</f>
        <v>0</v>
      </c>
      <c r="V39" s="118">
        <f>SUMIFS(statement!$J:$J,statement!$K:$K,ANALISA!$AA37, statement!$A:$A,V$6)</f>
        <v>0</v>
      </c>
      <c r="W39" s="118">
        <f>SUMIFS(statement!$J:$J,statement!$K:$K,ANALISA!$AA37, statement!$A:$A,W$6)</f>
        <v>0</v>
      </c>
      <c r="X39" s="118">
        <f>SUMIFS(statement!$J:$J,statement!$K:$K,ANALISA!$AA37, statement!$A:$A,X$6)</f>
        <v>0</v>
      </c>
      <c r="Y39" s="118">
        <f>SUMIFS(statement!$J:$J,statement!$K:$K,ANALISA!$AA37, statement!$A:$A,Y$6)</f>
        <v>0</v>
      </c>
      <c r="Z39" s="118">
        <f>SUMIFS(statement!$J:$J,statement!$K:$K,ANALISA!$AA37, statement!$A:$A,Z$6)</f>
        <v>0</v>
      </c>
      <c r="AA39" s="118">
        <f>SUMIFS(statement!$J:$J,statement!$K:$K,ANALISA!$AA37, statement!$A:$A,AA$6)</f>
        <v>0</v>
      </c>
      <c r="AB39" s="118">
        <f>SUMIFS(statement!$J:$J,statement!$K:$K,ANALISA!$AA37, statement!$A:$A,AB$6)</f>
        <v>0</v>
      </c>
      <c r="AC39" s="118">
        <f>SUMIFS(statement!$J:$J,statement!$K:$K,ANALISA!$AA37, statement!$A:$A,AC$6)</f>
        <v>0</v>
      </c>
      <c r="AD39" s="118">
        <f>SUMIFS(statement!$J:$J,statement!$K:$K,ANALISA!$AA37, statement!$A:$A,AD$6)</f>
        <v>0</v>
      </c>
      <c r="AE39" s="118">
        <f>SUMIFS(statement!$J:$J,statement!$K:$K,ANALISA!$AA37, statement!$A:$A,AE$6)</f>
        <v>0</v>
      </c>
      <c r="AF39" s="118">
        <f>SUMIFS(statement!$J:$J,statement!$K:$K,ANALISA!$AA37, statement!$A:$A,AF$6)</f>
        <v>0</v>
      </c>
      <c r="AG39" s="118">
        <f>SUMIFS(statement!$J:$J,statement!$K:$K,ANALISA!$AA37, statement!$A:$A,AG$6)</f>
        <v>0</v>
      </c>
      <c r="AH39" s="118">
        <f>SUMIFS(statement!$J:$J,statement!$K:$K,ANALISA!$AA37, statement!$A:$A,AH$6)</f>
        <v>0</v>
      </c>
      <c r="AI39" s="118">
        <f>SUMIFS(statement!$J:$J,statement!$K:$K,ANALISA!$AA37, statement!$A:$A,AI$6)</f>
        <v>0</v>
      </c>
      <c r="AJ39" s="124">
        <f>ANALISA!AB37</f>
        <v>0</v>
      </c>
      <c r="AK39" s="125">
        <f t="shared" si="0"/>
        <v>0</v>
      </c>
      <c r="AL39" s="126" t="str">
        <f>IF(SUMIF(statement!$K:$K,ANALISA!AA37,statement!$J:$J)=AK39,"MATCH","UNMATCH")</f>
        <v>MATCH</v>
      </c>
      <c r="AM39" s="104">
        <f>AK39-ANALISA!R37</f>
        <v>0</v>
      </c>
      <c r="AN39" s="104"/>
      <c r="AO39" s="104"/>
      <c r="AP39" s="97"/>
      <c r="AQ39" s="97"/>
      <c r="AR39" s="127"/>
      <c r="AS39" s="104"/>
      <c r="AT39" s="127"/>
      <c r="AU39" s="128"/>
      <c r="AV39" s="97"/>
      <c r="AW39" s="97"/>
      <c r="AX39" s="129"/>
      <c r="BA39" s="97"/>
      <c r="BB39" s="98"/>
      <c r="BC39" s="97"/>
      <c r="BE39" s="97"/>
      <c r="BF39" s="97"/>
      <c r="BG39" s="97"/>
      <c r="BI39" s="130"/>
      <c r="BJ39" s="130"/>
    </row>
    <row r="40" spans="2:62" s="96" customFormat="1" ht="19.5" customHeight="1" x14ac:dyDescent="0.3">
      <c r="B40" s="123">
        <f>ANALISA!C38</f>
        <v>46296</v>
      </c>
      <c r="C40" s="118">
        <f>SUMIFS(statement!$J:$J,statement!$K:$K,ANALISA!$AA38, statement!$A:$A,C$6)</f>
        <v>0</v>
      </c>
      <c r="D40" s="118">
        <f>SUMIFS(statement!$J:$J,statement!$K:$K,ANALISA!$AA38, statement!$A:$A,D$6)</f>
        <v>0</v>
      </c>
      <c r="E40" s="118">
        <f>SUMIFS(statement!$J:$J,statement!$K:$K,ANALISA!$AA38, statement!$A:$A,E$6)</f>
        <v>0</v>
      </c>
      <c r="F40" s="118">
        <f>SUMIFS(statement!$J:$J,statement!$K:$K,ANALISA!$AA38, statement!$A:$A,F$6)</f>
        <v>0</v>
      </c>
      <c r="G40" s="118">
        <f>SUMIFS(statement!$J:$J,statement!$K:$K,ANALISA!$AA38, statement!$A:$A,G$6)</f>
        <v>0</v>
      </c>
      <c r="H40" s="118">
        <f>SUMIFS(statement!$J:$J,statement!$K:$K,ANALISA!$AA38, statement!$A:$A,H$6)</f>
        <v>0</v>
      </c>
      <c r="I40" s="118">
        <f>SUMIFS(statement!$J:$J,statement!$K:$K,ANALISA!$AA38, statement!$A:$A,I$6)</f>
        <v>0</v>
      </c>
      <c r="J40" s="118">
        <f>SUMIFS(statement!$J:$J,statement!$K:$K,ANALISA!$AA38, statement!$A:$A,J$6)</f>
        <v>0</v>
      </c>
      <c r="K40" s="118">
        <f>SUMIFS(statement!$J:$J,statement!$K:$K,ANALISA!$AA38, statement!$A:$A,K$6)</f>
        <v>0</v>
      </c>
      <c r="L40" s="118">
        <f>SUMIFS(statement!$J:$J,statement!$K:$K,ANALISA!$AA38, statement!$A:$A,L$6)</f>
        <v>0</v>
      </c>
      <c r="M40" s="118">
        <f>SUMIFS(statement!$J:$J,statement!$K:$K,ANALISA!$AA38, statement!$A:$A,M$6)</f>
        <v>0</v>
      </c>
      <c r="N40" s="118">
        <f>SUMIFS(statement!$J:$J,statement!$K:$K,ANALISA!$AA38, statement!$A:$A,N$6)</f>
        <v>0</v>
      </c>
      <c r="O40" s="118">
        <f>SUMIFS(statement!$J:$J,statement!$K:$K,ANALISA!$AA38, statement!$A:$A,O$6)</f>
        <v>0</v>
      </c>
      <c r="P40" s="118">
        <f>SUMIFS(statement!$J:$J,statement!$K:$K,ANALISA!$AA38, statement!$A:$A,P$6)</f>
        <v>0</v>
      </c>
      <c r="Q40" s="118">
        <f>SUMIFS(statement!$J:$J,statement!$K:$K,ANALISA!$AA38, statement!$A:$A,Q$6)</f>
        <v>0</v>
      </c>
      <c r="R40" s="118">
        <f>SUMIFS(statement!$J:$J,statement!$K:$K,ANALISA!$AA38, statement!$A:$A,R$6)</f>
        <v>0</v>
      </c>
      <c r="S40" s="118">
        <f>SUMIFS(statement!$J:$J,statement!$K:$K,ANALISA!$AA38, statement!$A:$A,S$6)</f>
        <v>0</v>
      </c>
      <c r="T40" s="118">
        <f>SUMIFS(statement!$J:$J,statement!$K:$K,ANALISA!$AA38, statement!$A:$A,T$6)</f>
        <v>0</v>
      </c>
      <c r="U40" s="118">
        <f>SUMIFS(statement!$J:$J,statement!$K:$K,ANALISA!$AA38, statement!$A:$A,U$6)</f>
        <v>0</v>
      </c>
      <c r="V40" s="118">
        <f>SUMIFS(statement!$J:$J,statement!$K:$K,ANALISA!$AA38, statement!$A:$A,V$6)</f>
        <v>0</v>
      </c>
      <c r="W40" s="118">
        <f>SUMIFS(statement!$J:$J,statement!$K:$K,ANALISA!$AA38, statement!$A:$A,W$6)</f>
        <v>0</v>
      </c>
      <c r="X40" s="118">
        <f>SUMIFS(statement!$J:$J,statement!$K:$K,ANALISA!$AA38, statement!$A:$A,X$6)</f>
        <v>0</v>
      </c>
      <c r="Y40" s="118">
        <f>SUMIFS(statement!$J:$J,statement!$K:$K,ANALISA!$AA38, statement!$A:$A,Y$6)</f>
        <v>0</v>
      </c>
      <c r="Z40" s="118">
        <f>SUMIFS(statement!$J:$J,statement!$K:$K,ANALISA!$AA38, statement!$A:$A,Z$6)</f>
        <v>0</v>
      </c>
      <c r="AA40" s="118">
        <f>SUMIFS(statement!$J:$J,statement!$K:$K,ANALISA!$AA38, statement!$A:$A,AA$6)</f>
        <v>0</v>
      </c>
      <c r="AB40" s="118">
        <f>SUMIFS(statement!$J:$J,statement!$K:$K,ANALISA!$AA38, statement!$A:$A,AB$6)</f>
        <v>0</v>
      </c>
      <c r="AC40" s="118">
        <f>SUMIFS(statement!$J:$J,statement!$K:$K,ANALISA!$AA38, statement!$A:$A,AC$6)</f>
        <v>0</v>
      </c>
      <c r="AD40" s="118">
        <f>SUMIFS(statement!$J:$J,statement!$K:$K,ANALISA!$AA38, statement!$A:$A,AD$6)</f>
        <v>0</v>
      </c>
      <c r="AE40" s="118">
        <f>SUMIFS(statement!$J:$J,statement!$K:$K,ANALISA!$AA38, statement!$A:$A,AE$6)</f>
        <v>0</v>
      </c>
      <c r="AF40" s="118">
        <f>SUMIFS(statement!$J:$J,statement!$K:$K,ANALISA!$AA38, statement!$A:$A,AF$6)</f>
        <v>0</v>
      </c>
      <c r="AG40" s="118">
        <f>SUMIFS(statement!$J:$J,statement!$K:$K,ANALISA!$AA38, statement!$A:$A,AG$6)</f>
        <v>0</v>
      </c>
      <c r="AH40" s="118">
        <f>SUMIFS(statement!$J:$J,statement!$K:$K,ANALISA!$AA38, statement!$A:$A,AH$6)</f>
        <v>0</v>
      </c>
      <c r="AI40" s="118">
        <f>SUMIFS(statement!$J:$J,statement!$K:$K,ANALISA!$AA38, statement!$A:$A,AI$6)</f>
        <v>0</v>
      </c>
      <c r="AJ40" s="124">
        <f>ANALISA!AB38</f>
        <v>0</v>
      </c>
      <c r="AK40" s="125">
        <f t="shared" si="0"/>
        <v>0</v>
      </c>
      <c r="AL40" s="126" t="str">
        <f>IF(SUMIF(statement!$K:$K,ANALISA!AA38,statement!$J:$J)=AK40,"MATCH","UNMATCH")</f>
        <v>MATCH</v>
      </c>
      <c r="AM40" s="104">
        <f>AK40-ANALISA!R38</f>
        <v>0</v>
      </c>
      <c r="AN40" s="104"/>
      <c r="AO40" s="104"/>
      <c r="AP40" s="97"/>
      <c r="AQ40" s="97"/>
      <c r="AR40" s="127"/>
      <c r="AS40" s="104"/>
      <c r="AT40" s="127"/>
      <c r="AU40" s="128"/>
      <c r="AV40" s="97"/>
      <c r="AW40" s="97"/>
      <c r="AX40" s="129"/>
      <c r="BA40" s="132"/>
      <c r="BB40" s="136"/>
      <c r="BC40" s="132"/>
      <c r="BE40" s="132"/>
      <c r="BF40" s="132"/>
      <c r="BG40" s="132"/>
      <c r="BI40" s="133"/>
    </row>
    <row r="41" spans="2:62" s="96" customFormat="1" ht="19.5" customHeight="1" thickBot="1" x14ac:dyDescent="0.35">
      <c r="B41" s="137"/>
      <c r="C41" s="138"/>
      <c r="D41" s="138"/>
      <c r="E41" s="138"/>
      <c r="F41" s="138"/>
      <c r="G41" s="138"/>
      <c r="H41" s="138"/>
      <c r="I41" s="138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139"/>
      <c r="V41" s="139"/>
      <c r="W41" s="139"/>
      <c r="X41" s="139"/>
      <c r="Y41" s="139"/>
      <c r="Z41" s="139"/>
      <c r="AA41" s="139"/>
      <c r="AB41" s="139"/>
      <c r="AC41" s="139"/>
      <c r="AD41" s="139"/>
      <c r="AE41" s="139"/>
      <c r="AF41" s="139"/>
      <c r="AG41" s="139"/>
      <c r="AH41" s="139"/>
      <c r="AI41" s="140"/>
      <c r="AJ41" s="141"/>
      <c r="AK41" s="142"/>
      <c r="AL41" s="143"/>
      <c r="AM41" s="97"/>
      <c r="AN41" s="97"/>
      <c r="AO41" s="97"/>
      <c r="AP41" s="97"/>
      <c r="AQ41" s="97"/>
      <c r="AR41" s="127"/>
      <c r="AS41" s="104"/>
      <c r="AT41" s="127"/>
      <c r="AU41" s="128"/>
      <c r="AV41" s="97"/>
      <c r="AW41" s="97"/>
      <c r="AX41" s="129"/>
      <c r="BA41" s="97"/>
      <c r="BB41" s="98"/>
      <c r="BC41" s="97"/>
      <c r="BE41" s="97"/>
      <c r="BF41" s="97"/>
      <c r="BG41" s="97"/>
    </row>
    <row r="42" spans="2:62" s="96" customFormat="1" ht="19.5" customHeight="1" x14ac:dyDescent="0.3">
      <c r="B42" s="144" t="s">
        <v>108</v>
      </c>
      <c r="C42" s="145">
        <f t="shared" ref="C42:AI42" si="1">SUM(C9:C41)</f>
        <v>0</v>
      </c>
      <c r="D42" s="145">
        <f t="shared" si="1"/>
        <v>0</v>
      </c>
      <c r="E42" s="145">
        <f t="shared" si="1"/>
        <v>0</v>
      </c>
      <c r="F42" s="145">
        <f t="shared" si="1"/>
        <v>0</v>
      </c>
      <c r="G42" s="145">
        <f t="shared" si="1"/>
        <v>0</v>
      </c>
      <c r="H42" s="145">
        <f t="shared" si="1"/>
        <v>0</v>
      </c>
      <c r="I42" s="145">
        <f t="shared" si="1"/>
        <v>0</v>
      </c>
      <c r="J42" s="145">
        <f t="shared" si="1"/>
        <v>0</v>
      </c>
      <c r="K42" s="145">
        <f t="shared" si="1"/>
        <v>0</v>
      </c>
      <c r="L42" s="145">
        <f t="shared" si="1"/>
        <v>0</v>
      </c>
      <c r="M42" s="145">
        <f t="shared" si="1"/>
        <v>0</v>
      </c>
      <c r="N42" s="145">
        <f t="shared" si="1"/>
        <v>0</v>
      </c>
      <c r="O42" s="145">
        <f t="shared" si="1"/>
        <v>0</v>
      </c>
      <c r="P42" s="145">
        <f t="shared" si="1"/>
        <v>0</v>
      </c>
      <c r="Q42" s="145">
        <f t="shared" si="1"/>
        <v>0</v>
      </c>
      <c r="R42" s="145">
        <f t="shared" si="1"/>
        <v>0</v>
      </c>
      <c r="S42" s="145">
        <f t="shared" si="1"/>
        <v>0</v>
      </c>
      <c r="T42" s="145">
        <f t="shared" si="1"/>
        <v>0</v>
      </c>
      <c r="U42" s="145">
        <f t="shared" si="1"/>
        <v>0</v>
      </c>
      <c r="V42" s="145">
        <f t="shared" si="1"/>
        <v>0</v>
      </c>
      <c r="W42" s="145">
        <f t="shared" si="1"/>
        <v>0</v>
      </c>
      <c r="X42" s="145">
        <f t="shared" si="1"/>
        <v>0</v>
      </c>
      <c r="Y42" s="145">
        <f t="shared" si="1"/>
        <v>0</v>
      </c>
      <c r="Z42" s="145">
        <f t="shared" si="1"/>
        <v>0</v>
      </c>
      <c r="AA42" s="145">
        <f t="shared" si="1"/>
        <v>0</v>
      </c>
      <c r="AB42" s="145">
        <f t="shared" si="1"/>
        <v>0</v>
      </c>
      <c r="AC42" s="145">
        <f t="shared" si="1"/>
        <v>0</v>
      </c>
      <c r="AD42" s="145">
        <f t="shared" si="1"/>
        <v>0</v>
      </c>
      <c r="AE42" s="145">
        <f t="shared" si="1"/>
        <v>0</v>
      </c>
      <c r="AF42" s="145">
        <f t="shared" si="1"/>
        <v>0</v>
      </c>
      <c r="AG42" s="145">
        <f t="shared" si="1"/>
        <v>0</v>
      </c>
      <c r="AH42" s="145">
        <f t="shared" si="1"/>
        <v>0</v>
      </c>
      <c r="AI42" s="146">
        <f t="shared" si="1"/>
        <v>0</v>
      </c>
      <c r="AJ42" s="147"/>
      <c r="AK42" s="148"/>
      <c r="AL42" s="149"/>
      <c r="AM42" s="150"/>
      <c r="AN42" s="150"/>
      <c r="AO42" s="150"/>
      <c r="AP42" s="150"/>
      <c r="AQ42" s="150"/>
      <c r="AR42" s="151"/>
      <c r="AS42" s="150"/>
      <c r="AT42" s="151"/>
      <c r="AU42" s="150"/>
      <c r="AV42" s="150"/>
      <c r="AW42" s="150"/>
      <c r="AX42" s="132"/>
      <c r="BA42" s="97"/>
      <c r="BB42" s="98"/>
      <c r="BC42" s="97"/>
      <c r="BE42" s="97"/>
      <c r="BF42" s="97"/>
      <c r="BG42" s="97"/>
    </row>
    <row r="43" spans="2:62" s="96" customFormat="1" ht="19.5" customHeight="1" thickBot="1" x14ac:dyDescent="0.35">
      <c r="B43" s="152" t="s">
        <v>109</v>
      </c>
      <c r="C43" s="153">
        <f t="shared" ref="C43:AI43" si="2">SUMIF(C10:C40,"&lt;0")</f>
        <v>0</v>
      </c>
      <c r="D43" s="153">
        <f t="shared" si="2"/>
        <v>0</v>
      </c>
      <c r="E43" s="153">
        <f t="shared" si="2"/>
        <v>0</v>
      </c>
      <c r="F43" s="153">
        <f t="shared" si="2"/>
        <v>0</v>
      </c>
      <c r="G43" s="153">
        <f t="shared" si="2"/>
        <v>0</v>
      </c>
      <c r="H43" s="153">
        <f t="shared" si="2"/>
        <v>0</v>
      </c>
      <c r="I43" s="153">
        <f t="shared" si="2"/>
        <v>0</v>
      </c>
      <c r="J43" s="153">
        <f t="shared" si="2"/>
        <v>0</v>
      </c>
      <c r="K43" s="153">
        <f t="shared" si="2"/>
        <v>0</v>
      </c>
      <c r="L43" s="153">
        <f t="shared" si="2"/>
        <v>0</v>
      </c>
      <c r="M43" s="153">
        <f t="shared" si="2"/>
        <v>0</v>
      </c>
      <c r="N43" s="153">
        <f t="shared" si="2"/>
        <v>0</v>
      </c>
      <c r="O43" s="153">
        <f t="shared" si="2"/>
        <v>0</v>
      </c>
      <c r="P43" s="153">
        <f t="shared" si="2"/>
        <v>0</v>
      </c>
      <c r="Q43" s="153">
        <f t="shared" si="2"/>
        <v>0</v>
      </c>
      <c r="R43" s="153">
        <f t="shared" si="2"/>
        <v>0</v>
      </c>
      <c r="S43" s="153">
        <f t="shared" si="2"/>
        <v>0</v>
      </c>
      <c r="T43" s="153">
        <f t="shared" si="2"/>
        <v>0</v>
      </c>
      <c r="U43" s="153">
        <f t="shared" si="2"/>
        <v>0</v>
      </c>
      <c r="V43" s="153">
        <f t="shared" si="2"/>
        <v>0</v>
      </c>
      <c r="W43" s="153">
        <f t="shared" si="2"/>
        <v>0</v>
      </c>
      <c r="X43" s="153">
        <f t="shared" si="2"/>
        <v>0</v>
      </c>
      <c r="Y43" s="153">
        <f t="shared" si="2"/>
        <v>0</v>
      </c>
      <c r="Z43" s="153">
        <f t="shared" si="2"/>
        <v>0</v>
      </c>
      <c r="AA43" s="153">
        <f t="shared" si="2"/>
        <v>0</v>
      </c>
      <c r="AB43" s="153">
        <f t="shared" si="2"/>
        <v>0</v>
      </c>
      <c r="AC43" s="153">
        <f t="shared" si="2"/>
        <v>0</v>
      </c>
      <c r="AD43" s="153">
        <f t="shared" si="2"/>
        <v>0</v>
      </c>
      <c r="AE43" s="153">
        <f t="shared" si="2"/>
        <v>0</v>
      </c>
      <c r="AF43" s="153">
        <f t="shared" si="2"/>
        <v>0</v>
      </c>
      <c r="AG43" s="153">
        <f t="shared" si="2"/>
        <v>0</v>
      </c>
      <c r="AH43" s="153">
        <f t="shared" si="2"/>
        <v>0</v>
      </c>
      <c r="AI43" s="154">
        <f t="shared" si="2"/>
        <v>0</v>
      </c>
      <c r="AJ43" s="155"/>
      <c r="AK43" s="156"/>
      <c r="AL43" s="157">
        <f>SUM(C43:AI43)</f>
        <v>0</v>
      </c>
      <c r="AM43" s="150"/>
      <c r="AN43" s="150"/>
      <c r="AO43" s="150"/>
      <c r="AP43" s="150"/>
      <c r="AQ43" s="150"/>
      <c r="AR43" s="151"/>
      <c r="AS43" s="150"/>
      <c r="AT43" s="151"/>
      <c r="AU43" s="158"/>
      <c r="AV43" s="150"/>
      <c r="AW43" s="150"/>
      <c r="AX43" s="150"/>
      <c r="AY43" s="132"/>
      <c r="BA43" s="97"/>
      <c r="BB43" s="98"/>
      <c r="BC43" s="97"/>
      <c r="BE43" s="97"/>
      <c r="BF43" s="97"/>
      <c r="BG43" s="97"/>
    </row>
    <row r="44" spans="2:62" ht="19.5" customHeight="1" x14ac:dyDescent="0.3">
      <c r="AS44" s="130"/>
    </row>
    <row r="45" spans="2:62" ht="19.5" customHeight="1" x14ac:dyDescent="0.3">
      <c r="AK45" s="97"/>
      <c r="AP45" s="97"/>
    </row>
    <row r="46" spans="2:62" ht="19.5" customHeight="1" x14ac:dyDescent="0.3">
      <c r="AK46" s="97"/>
      <c r="AP46" s="97"/>
    </row>
    <row r="47" spans="2:62" ht="19.5" customHeight="1" x14ac:dyDescent="0.3">
      <c r="AK47" s="97"/>
      <c r="AP47" s="97"/>
    </row>
    <row r="48" spans="2:62" ht="19.5" customHeight="1" x14ac:dyDescent="0.3">
      <c r="AK48" s="130"/>
      <c r="AP48" s="130"/>
    </row>
    <row r="49" spans="43:43" ht="19.5" customHeight="1" x14ac:dyDescent="0.3">
      <c r="AQ49" s="132"/>
    </row>
  </sheetData>
  <mergeCells count="4">
    <mergeCell ref="AK6:AK8"/>
    <mergeCell ref="B6:B7"/>
    <mergeCell ref="AL6:AL8"/>
    <mergeCell ref="AJ6:AJ8"/>
  </mergeCells>
  <conditionalFormatting sqref="C7:AI7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:AJ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:AJ40">
    <cfRule type="cellIs" dxfId="12" priority="8" stopIfTrue="1" operator="lessThan">
      <formula>0</formula>
    </cfRule>
  </conditionalFormatting>
  <conditionalFormatting sqref="AL10:AL40">
    <cfRule type="containsText" dxfId="11" priority="9" stopIfTrue="1" operator="containsText" text="UNMATCH">
      <formula>NOT(ISERROR(SEARCH("UNMATCH",AL10)))</formula>
    </cfRule>
  </conditionalFormatting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D1:M40"/>
  <sheetViews>
    <sheetView workbookViewId="0">
      <selection activeCell="B4" sqref="B4"/>
    </sheetView>
  </sheetViews>
  <sheetFormatPr defaultColWidth="10.109375" defaultRowHeight="14.4" x14ac:dyDescent="0.3"/>
  <cols>
    <col min="1" max="3" width="10.109375" style="88" customWidth="1"/>
    <col min="4" max="4" width="12.6640625" style="88" bestFit="1" customWidth="1"/>
    <col min="5" max="12" width="10.109375" style="88" customWidth="1"/>
    <col min="13" max="13" width="10.109375" style="178" customWidth="1"/>
    <col min="14" max="24" width="10.109375" style="88" customWidth="1"/>
    <col min="25" max="16384" width="10.109375" style="88"/>
  </cols>
  <sheetData>
    <row r="1" spans="4:13" ht="13.8" x14ac:dyDescent="0.3">
      <c r="D1" s="160"/>
      <c r="E1" s="161"/>
      <c r="F1" s="162"/>
      <c r="M1" s="88"/>
    </row>
    <row r="2" spans="4:13" x14ac:dyDescent="0.3">
      <c r="D2" s="160"/>
      <c r="E2" s="161"/>
      <c r="F2" s="162"/>
      <c r="M2" s="163"/>
    </row>
    <row r="3" spans="4:13" ht="13.8" x14ac:dyDescent="0.3">
      <c r="D3" s="160"/>
      <c r="E3" s="161"/>
      <c r="F3" s="162"/>
      <c r="M3" s="88"/>
    </row>
    <row r="4" spans="4:13" ht="13.8" x14ac:dyDescent="0.3">
      <c r="D4" s="160"/>
      <c r="E4" s="161"/>
      <c r="F4" s="162"/>
      <c r="M4" s="88"/>
    </row>
    <row r="5" spans="4:13" x14ac:dyDescent="0.3">
      <c r="D5" s="160"/>
      <c r="E5" s="161"/>
      <c r="F5" s="162"/>
      <c r="M5" s="163"/>
    </row>
    <row r="6" spans="4:13" x14ac:dyDescent="0.3">
      <c r="D6" s="160"/>
      <c r="E6" s="161"/>
      <c r="F6" s="162"/>
      <c r="M6" s="163"/>
    </row>
    <row r="7" spans="4:13" x14ac:dyDescent="0.3">
      <c r="D7" s="160"/>
      <c r="E7" s="161"/>
      <c r="F7" s="162"/>
      <c r="M7" s="163"/>
    </row>
    <row r="8" spans="4:13" x14ac:dyDescent="0.3">
      <c r="D8" s="160"/>
      <c r="E8" s="161"/>
      <c r="F8" s="162"/>
      <c r="M8" s="163"/>
    </row>
    <row r="9" spans="4:13" x14ac:dyDescent="0.3">
      <c r="D9" s="160"/>
      <c r="E9" s="161"/>
      <c r="F9" s="162"/>
      <c r="M9" s="163"/>
    </row>
    <row r="10" spans="4:13" x14ac:dyDescent="0.3">
      <c r="D10" s="160"/>
      <c r="E10" s="161"/>
      <c r="F10" s="162"/>
      <c r="M10" s="163"/>
    </row>
    <row r="11" spans="4:13" ht="13.8" x14ac:dyDescent="0.3">
      <c r="D11" s="160"/>
      <c r="E11" s="161"/>
      <c r="F11" s="162"/>
      <c r="M11" s="88"/>
    </row>
    <row r="12" spans="4:13" ht="13.8" x14ac:dyDescent="0.3">
      <c r="D12" s="160"/>
      <c r="E12" s="161"/>
      <c r="F12" s="162"/>
      <c r="M12" s="88"/>
    </row>
    <row r="13" spans="4:13" x14ac:dyDescent="0.3">
      <c r="D13" s="160"/>
      <c r="E13" s="161"/>
      <c r="F13" s="162"/>
      <c r="M13" s="163"/>
    </row>
    <row r="14" spans="4:13" x14ac:dyDescent="0.3">
      <c r="D14" s="160"/>
      <c r="F14" s="162"/>
      <c r="M14" s="163"/>
    </row>
    <row r="15" spans="4:13" x14ac:dyDescent="0.3">
      <c r="D15" s="160"/>
      <c r="F15" s="162"/>
      <c r="M15" s="163"/>
    </row>
    <row r="16" spans="4:13" x14ac:dyDescent="0.3">
      <c r="D16" s="160"/>
      <c r="F16" s="162"/>
      <c r="M16" s="163"/>
    </row>
    <row r="17" spans="4:13" x14ac:dyDescent="0.3">
      <c r="D17" s="160"/>
      <c r="F17" s="162"/>
      <c r="M17" s="163"/>
    </row>
    <row r="18" spans="4:13" ht="13.8" x14ac:dyDescent="0.3">
      <c r="D18" s="160"/>
      <c r="F18" s="162"/>
      <c r="M18" s="88"/>
    </row>
    <row r="19" spans="4:13" x14ac:dyDescent="0.3">
      <c r="D19" s="160"/>
      <c r="F19" s="162"/>
      <c r="M19" s="163"/>
    </row>
    <row r="20" spans="4:13" x14ac:dyDescent="0.3">
      <c r="D20" s="160"/>
      <c r="F20" s="162"/>
      <c r="M20" s="163"/>
    </row>
    <row r="21" spans="4:13" x14ac:dyDescent="0.3">
      <c r="D21" s="160"/>
      <c r="F21" s="162"/>
      <c r="M21" s="163"/>
    </row>
    <row r="22" spans="4:13" x14ac:dyDescent="0.3">
      <c r="D22" s="160"/>
      <c r="F22" s="162"/>
      <c r="M22" s="163"/>
    </row>
    <row r="23" spans="4:13" x14ac:dyDescent="0.3">
      <c r="D23" s="160"/>
      <c r="F23" s="162"/>
      <c r="M23" s="163"/>
    </row>
    <row r="24" spans="4:13" x14ac:dyDescent="0.3">
      <c r="D24" s="160"/>
      <c r="F24" s="162"/>
      <c r="M24" s="163"/>
    </row>
    <row r="25" spans="4:13" x14ac:dyDescent="0.3">
      <c r="D25" s="160"/>
      <c r="F25" s="162"/>
      <c r="M25" s="163"/>
    </row>
    <row r="26" spans="4:13" x14ac:dyDescent="0.3">
      <c r="D26" s="160"/>
      <c r="F26" s="162"/>
      <c r="M26" s="163"/>
    </row>
    <row r="27" spans="4:13" x14ac:dyDescent="0.3">
      <c r="D27" s="160"/>
      <c r="F27" s="162"/>
      <c r="M27" s="163"/>
    </row>
    <row r="28" spans="4:13" x14ac:dyDescent="0.3">
      <c r="D28" s="160"/>
      <c r="F28" s="162"/>
      <c r="M28" s="163"/>
    </row>
    <row r="29" spans="4:13" x14ac:dyDescent="0.3">
      <c r="D29" s="160"/>
      <c r="F29" s="162"/>
      <c r="M29" s="163"/>
    </row>
    <row r="30" spans="4:13" x14ac:dyDescent="0.3">
      <c r="D30" s="160"/>
      <c r="M30" s="163"/>
    </row>
    <row r="31" spans="4:13" x14ac:dyDescent="0.3">
      <c r="D31" s="160"/>
      <c r="M31" s="163"/>
    </row>
    <row r="32" spans="4:13" ht="13.8" x14ac:dyDescent="0.3">
      <c r="D32" s="160"/>
      <c r="M32" s="88"/>
    </row>
    <row r="33" spans="4:13" x14ac:dyDescent="0.3">
      <c r="D33" s="160"/>
      <c r="M33" s="163"/>
    </row>
    <row r="34" spans="4:13" x14ac:dyDescent="0.3">
      <c r="D34" s="160"/>
      <c r="M34" s="163"/>
    </row>
    <row r="36" spans="4:13" x14ac:dyDescent="0.3">
      <c r="D36" s="160"/>
      <c r="M36" s="163"/>
    </row>
    <row r="37" spans="4:13" x14ac:dyDescent="0.3">
      <c r="D37" s="160"/>
      <c r="M37" s="163"/>
    </row>
    <row r="38" spans="4:13" x14ac:dyDescent="0.3">
      <c r="D38" s="160"/>
      <c r="M38" s="163"/>
    </row>
    <row r="39" spans="4:13" x14ac:dyDescent="0.3">
      <c r="D39" s="160"/>
      <c r="M39" s="163"/>
    </row>
    <row r="40" spans="4:13" x14ac:dyDescent="0.3">
      <c r="D40" s="160"/>
      <c r="M40" s="163"/>
    </row>
  </sheetData>
  <pageMargins left="0.7" right="0.7" top="0.75" bottom="0.75" header="0.3" footer="0.3"/>
  <pageSetup orientation="portrait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4"/>
  <sheetViews>
    <sheetView workbookViewId="0">
      <selection sqref="A1:XFD1048576"/>
    </sheetView>
  </sheetViews>
  <sheetFormatPr defaultRowHeight="13.8" x14ac:dyDescent="0.3"/>
  <cols>
    <col min="1" max="1" width="19" style="88" bestFit="1" customWidth="1"/>
    <col min="2" max="2" width="16.44140625" style="88" bestFit="1" customWidth="1"/>
    <col min="3" max="3" width="14.33203125" style="88" bestFit="1" customWidth="1"/>
    <col min="4" max="4" width="7.44140625" style="88" bestFit="1" customWidth="1"/>
    <col min="5" max="5" width="32.5546875" style="88" bestFit="1" customWidth="1"/>
    <col min="6" max="6" width="13.6640625" style="88" bestFit="1" customWidth="1"/>
    <col min="7" max="7" width="12.6640625" style="88" bestFit="1" customWidth="1"/>
    <col min="8" max="8" width="9.6640625" style="88" bestFit="1" customWidth="1"/>
    <col min="9" max="9" width="15.88671875" style="88" bestFit="1" customWidth="1"/>
    <col min="10" max="10" width="6.44140625" style="88" bestFit="1" customWidth="1"/>
    <col min="11" max="11" width="52.44140625" style="88" bestFit="1" customWidth="1"/>
    <col min="12" max="256" width="9.109375" style="88" customWidth="1"/>
    <col min="257" max="257" width="14.5546875" style="88" bestFit="1" customWidth="1"/>
    <col min="258" max="258" width="7.44140625" style="88" bestFit="1" customWidth="1"/>
    <col min="259" max="259" width="30.33203125" style="88" bestFit="1" customWidth="1"/>
    <col min="260" max="260" width="14" style="88" bestFit="1" customWidth="1"/>
    <col min="261" max="261" width="16.44140625" style="88" bestFit="1" customWidth="1"/>
    <col min="262" max="262" width="12.6640625" style="88" bestFit="1" customWidth="1"/>
    <col min="263" max="263" width="25" style="88" bestFit="1" customWidth="1"/>
    <col min="264" max="512" width="9.109375" style="88" customWidth="1"/>
    <col min="513" max="513" width="14.5546875" style="88" bestFit="1" customWidth="1"/>
    <col min="514" max="514" width="7.44140625" style="88" bestFit="1" customWidth="1"/>
    <col min="515" max="515" width="30.33203125" style="88" bestFit="1" customWidth="1"/>
    <col min="516" max="516" width="14" style="88" bestFit="1" customWidth="1"/>
    <col min="517" max="517" width="16.44140625" style="88" bestFit="1" customWidth="1"/>
    <col min="518" max="518" width="12.6640625" style="88" bestFit="1" customWidth="1"/>
    <col min="519" max="519" width="25" style="88" bestFit="1" customWidth="1"/>
    <col min="520" max="768" width="9.109375" style="88" customWidth="1"/>
    <col min="769" max="769" width="14.5546875" style="88" bestFit="1" customWidth="1"/>
    <col min="770" max="770" width="7.44140625" style="88" bestFit="1" customWidth="1"/>
    <col min="771" max="771" width="30.33203125" style="88" bestFit="1" customWidth="1"/>
    <col min="772" max="772" width="14" style="88" bestFit="1" customWidth="1"/>
    <col min="773" max="773" width="16.44140625" style="88" bestFit="1" customWidth="1"/>
    <col min="774" max="774" width="12.6640625" style="88" bestFit="1" customWidth="1"/>
    <col min="775" max="775" width="25" style="88" bestFit="1" customWidth="1"/>
    <col min="776" max="1024" width="9.109375" style="88" customWidth="1"/>
    <col min="1025" max="1025" width="14.5546875" style="88" bestFit="1" customWidth="1"/>
    <col min="1026" max="1026" width="7.44140625" style="88" bestFit="1" customWidth="1"/>
    <col min="1027" max="1027" width="30.33203125" style="88" bestFit="1" customWidth="1"/>
    <col min="1028" max="1028" width="14" style="88" bestFit="1" customWidth="1"/>
    <col min="1029" max="1029" width="16.44140625" style="88" bestFit="1" customWidth="1"/>
    <col min="1030" max="1030" width="12.6640625" style="88" bestFit="1" customWidth="1"/>
    <col min="1031" max="1031" width="25" style="88" bestFit="1" customWidth="1"/>
    <col min="1032" max="1280" width="9.109375" style="88" customWidth="1"/>
    <col min="1281" max="1281" width="14.5546875" style="88" bestFit="1" customWidth="1"/>
    <col min="1282" max="1282" width="7.44140625" style="88" bestFit="1" customWidth="1"/>
    <col min="1283" max="1283" width="30.33203125" style="88" bestFit="1" customWidth="1"/>
    <col min="1284" max="1284" width="14" style="88" bestFit="1" customWidth="1"/>
    <col min="1285" max="1285" width="16.44140625" style="88" bestFit="1" customWidth="1"/>
    <col min="1286" max="1286" width="12.6640625" style="88" bestFit="1" customWidth="1"/>
    <col min="1287" max="1287" width="25" style="88" bestFit="1" customWidth="1"/>
    <col min="1288" max="1536" width="9.109375" style="88" customWidth="1"/>
    <col min="1537" max="1537" width="14.5546875" style="88" bestFit="1" customWidth="1"/>
    <col min="1538" max="1538" width="7.44140625" style="88" bestFit="1" customWidth="1"/>
    <col min="1539" max="1539" width="30.33203125" style="88" bestFit="1" customWidth="1"/>
    <col min="1540" max="1540" width="14" style="88" bestFit="1" customWidth="1"/>
    <col min="1541" max="1541" width="16.44140625" style="88" bestFit="1" customWidth="1"/>
    <col min="1542" max="1542" width="12.6640625" style="88" bestFit="1" customWidth="1"/>
    <col min="1543" max="1543" width="25" style="88" bestFit="1" customWidth="1"/>
    <col min="1544" max="1792" width="9.109375" style="88" customWidth="1"/>
    <col min="1793" max="1793" width="14.5546875" style="88" bestFit="1" customWidth="1"/>
    <col min="1794" max="1794" width="7.44140625" style="88" bestFit="1" customWidth="1"/>
    <col min="1795" max="1795" width="30.33203125" style="88" bestFit="1" customWidth="1"/>
    <col min="1796" max="1796" width="14" style="88" bestFit="1" customWidth="1"/>
    <col min="1797" max="1797" width="16.44140625" style="88" bestFit="1" customWidth="1"/>
    <col min="1798" max="1798" width="12.6640625" style="88" bestFit="1" customWidth="1"/>
    <col min="1799" max="1799" width="25" style="88" bestFit="1" customWidth="1"/>
    <col min="1800" max="2048" width="9.109375" style="88" customWidth="1"/>
    <col min="2049" max="2049" width="14.5546875" style="88" bestFit="1" customWidth="1"/>
    <col min="2050" max="2050" width="7.44140625" style="88" bestFit="1" customWidth="1"/>
    <col min="2051" max="2051" width="30.33203125" style="88" bestFit="1" customWidth="1"/>
    <col min="2052" max="2052" width="14" style="88" bestFit="1" customWidth="1"/>
    <col min="2053" max="2053" width="16.44140625" style="88" bestFit="1" customWidth="1"/>
    <col min="2054" max="2054" width="12.6640625" style="88" bestFit="1" customWidth="1"/>
    <col min="2055" max="2055" width="25" style="88" bestFit="1" customWidth="1"/>
    <col min="2056" max="2304" width="9.109375" style="88" customWidth="1"/>
    <col min="2305" max="2305" width="14.5546875" style="88" bestFit="1" customWidth="1"/>
    <col min="2306" max="2306" width="7.44140625" style="88" bestFit="1" customWidth="1"/>
    <col min="2307" max="2307" width="30.33203125" style="88" bestFit="1" customWidth="1"/>
    <col min="2308" max="2308" width="14" style="88" bestFit="1" customWidth="1"/>
    <col min="2309" max="2309" width="16.44140625" style="88" bestFit="1" customWidth="1"/>
    <col min="2310" max="2310" width="12.6640625" style="88" bestFit="1" customWidth="1"/>
    <col min="2311" max="2311" width="25" style="88" bestFit="1" customWidth="1"/>
    <col min="2312" max="2560" width="9.109375" style="88" customWidth="1"/>
    <col min="2561" max="2561" width="14.5546875" style="88" bestFit="1" customWidth="1"/>
    <col min="2562" max="2562" width="7.44140625" style="88" bestFit="1" customWidth="1"/>
    <col min="2563" max="2563" width="30.33203125" style="88" bestFit="1" customWidth="1"/>
    <col min="2564" max="2564" width="14" style="88" bestFit="1" customWidth="1"/>
    <col min="2565" max="2565" width="16.44140625" style="88" bestFit="1" customWidth="1"/>
    <col min="2566" max="2566" width="12.6640625" style="88" bestFit="1" customWidth="1"/>
    <col min="2567" max="2567" width="25" style="88" bestFit="1" customWidth="1"/>
    <col min="2568" max="2816" width="9.109375" style="88" customWidth="1"/>
    <col min="2817" max="2817" width="14.5546875" style="88" bestFit="1" customWidth="1"/>
    <col min="2818" max="2818" width="7.44140625" style="88" bestFit="1" customWidth="1"/>
    <col min="2819" max="2819" width="30.33203125" style="88" bestFit="1" customWidth="1"/>
    <col min="2820" max="2820" width="14" style="88" bestFit="1" customWidth="1"/>
    <col min="2821" max="2821" width="16.44140625" style="88" bestFit="1" customWidth="1"/>
    <col min="2822" max="2822" width="12.6640625" style="88" bestFit="1" customWidth="1"/>
    <col min="2823" max="2823" width="25" style="88" bestFit="1" customWidth="1"/>
    <col min="2824" max="3072" width="9.109375" style="88" customWidth="1"/>
    <col min="3073" max="3073" width="14.5546875" style="88" bestFit="1" customWidth="1"/>
    <col min="3074" max="3074" width="7.44140625" style="88" bestFit="1" customWidth="1"/>
    <col min="3075" max="3075" width="30.33203125" style="88" bestFit="1" customWidth="1"/>
    <col min="3076" max="3076" width="14" style="88" bestFit="1" customWidth="1"/>
    <col min="3077" max="3077" width="16.44140625" style="88" bestFit="1" customWidth="1"/>
    <col min="3078" max="3078" width="12.6640625" style="88" bestFit="1" customWidth="1"/>
    <col min="3079" max="3079" width="25" style="88" bestFit="1" customWidth="1"/>
    <col min="3080" max="3328" width="9.109375" style="88" customWidth="1"/>
    <col min="3329" max="3329" width="14.5546875" style="88" bestFit="1" customWidth="1"/>
    <col min="3330" max="3330" width="7.44140625" style="88" bestFit="1" customWidth="1"/>
    <col min="3331" max="3331" width="30.33203125" style="88" bestFit="1" customWidth="1"/>
    <col min="3332" max="3332" width="14" style="88" bestFit="1" customWidth="1"/>
    <col min="3333" max="3333" width="16.44140625" style="88" bestFit="1" customWidth="1"/>
    <col min="3334" max="3334" width="12.6640625" style="88" bestFit="1" customWidth="1"/>
    <col min="3335" max="3335" width="25" style="88" bestFit="1" customWidth="1"/>
    <col min="3336" max="3584" width="9.109375" style="88" customWidth="1"/>
    <col min="3585" max="3585" width="14.5546875" style="88" bestFit="1" customWidth="1"/>
    <col min="3586" max="3586" width="7.44140625" style="88" bestFit="1" customWidth="1"/>
    <col min="3587" max="3587" width="30.33203125" style="88" bestFit="1" customWidth="1"/>
    <col min="3588" max="3588" width="14" style="88" bestFit="1" customWidth="1"/>
    <col min="3589" max="3589" width="16.44140625" style="88" bestFit="1" customWidth="1"/>
    <col min="3590" max="3590" width="12.6640625" style="88" bestFit="1" customWidth="1"/>
    <col min="3591" max="3591" width="25" style="88" bestFit="1" customWidth="1"/>
    <col min="3592" max="3840" width="9.109375" style="88" customWidth="1"/>
    <col min="3841" max="3841" width="14.5546875" style="88" bestFit="1" customWidth="1"/>
    <col min="3842" max="3842" width="7.44140625" style="88" bestFit="1" customWidth="1"/>
    <col min="3843" max="3843" width="30.33203125" style="88" bestFit="1" customWidth="1"/>
    <col min="3844" max="3844" width="14" style="88" bestFit="1" customWidth="1"/>
    <col min="3845" max="3845" width="16.44140625" style="88" bestFit="1" customWidth="1"/>
    <col min="3846" max="3846" width="12.6640625" style="88" bestFit="1" customWidth="1"/>
    <col min="3847" max="3847" width="25" style="88" bestFit="1" customWidth="1"/>
    <col min="3848" max="4096" width="9.109375" style="88" customWidth="1"/>
    <col min="4097" max="4097" width="14.5546875" style="88" bestFit="1" customWidth="1"/>
    <col min="4098" max="4098" width="7.44140625" style="88" bestFit="1" customWidth="1"/>
    <col min="4099" max="4099" width="30.33203125" style="88" bestFit="1" customWidth="1"/>
    <col min="4100" max="4100" width="14" style="88" bestFit="1" customWidth="1"/>
    <col min="4101" max="4101" width="16.44140625" style="88" bestFit="1" customWidth="1"/>
    <col min="4102" max="4102" width="12.6640625" style="88" bestFit="1" customWidth="1"/>
    <col min="4103" max="4103" width="25" style="88" bestFit="1" customWidth="1"/>
    <col min="4104" max="4352" width="9.109375" style="88" customWidth="1"/>
    <col min="4353" max="4353" width="14.5546875" style="88" bestFit="1" customWidth="1"/>
    <col min="4354" max="4354" width="7.44140625" style="88" bestFit="1" customWidth="1"/>
    <col min="4355" max="4355" width="30.33203125" style="88" bestFit="1" customWidth="1"/>
    <col min="4356" max="4356" width="14" style="88" bestFit="1" customWidth="1"/>
    <col min="4357" max="4357" width="16.44140625" style="88" bestFit="1" customWidth="1"/>
    <col min="4358" max="4358" width="12.6640625" style="88" bestFit="1" customWidth="1"/>
    <col min="4359" max="4359" width="25" style="88" bestFit="1" customWidth="1"/>
    <col min="4360" max="4608" width="9.109375" style="88" customWidth="1"/>
    <col min="4609" max="4609" width="14.5546875" style="88" bestFit="1" customWidth="1"/>
    <col min="4610" max="4610" width="7.44140625" style="88" bestFit="1" customWidth="1"/>
    <col min="4611" max="4611" width="30.33203125" style="88" bestFit="1" customWidth="1"/>
    <col min="4612" max="4612" width="14" style="88" bestFit="1" customWidth="1"/>
    <col min="4613" max="4613" width="16.44140625" style="88" bestFit="1" customWidth="1"/>
    <col min="4614" max="4614" width="12.6640625" style="88" bestFit="1" customWidth="1"/>
    <col min="4615" max="4615" width="25" style="88" bestFit="1" customWidth="1"/>
    <col min="4616" max="4864" width="9.109375" style="88" customWidth="1"/>
    <col min="4865" max="4865" width="14.5546875" style="88" bestFit="1" customWidth="1"/>
    <col min="4866" max="4866" width="7.44140625" style="88" bestFit="1" customWidth="1"/>
    <col min="4867" max="4867" width="30.33203125" style="88" bestFit="1" customWidth="1"/>
    <col min="4868" max="4868" width="14" style="88" bestFit="1" customWidth="1"/>
    <col min="4869" max="4869" width="16.44140625" style="88" bestFit="1" customWidth="1"/>
    <col min="4870" max="4870" width="12.6640625" style="88" bestFit="1" customWidth="1"/>
    <col min="4871" max="4871" width="25" style="88" bestFit="1" customWidth="1"/>
    <col min="4872" max="5120" width="9.109375" style="88" customWidth="1"/>
    <col min="5121" max="5121" width="14.5546875" style="88" bestFit="1" customWidth="1"/>
    <col min="5122" max="5122" width="7.44140625" style="88" bestFit="1" customWidth="1"/>
    <col min="5123" max="5123" width="30.33203125" style="88" bestFit="1" customWidth="1"/>
    <col min="5124" max="5124" width="14" style="88" bestFit="1" customWidth="1"/>
    <col min="5125" max="5125" width="16.44140625" style="88" bestFit="1" customWidth="1"/>
    <col min="5126" max="5126" width="12.6640625" style="88" bestFit="1" customWidth="1"/>
    <col min="5127" max="5127" width="25" style="88" bestFit="1" customWidth="1"/>
    <col min="5128" max="5376" width="9.109375" style="88" customWidth="1"/>
    <col min="5377" max="5377" width="14.5546875" style="88" bestFit="1" customWidth="1"/>
    <col min="5378" max="5378" width="7.44140625" style="88" bestFit="1" customWidth="1"/>
    <col min="5379" max="5379" width="30.33203125" style="88" bestFit="1" customWidth="1"/>
    <col min="5380" max="5380" width="14" style="88" bestFit="1" customWidth="1"/>
    <col min="5381" max="5381" width="16.44140625" style="88" bestFit="1" customWidth="1"/>
    <col min="5382" max="5382" width="12.6640625" style="88" bestFit="1" customWidth="1"/>
    <col min="5383" max="5383" width="25" style="88" bestFit="1" customWidth="1"/>
    <col min="5384" max="5632" width="9.109375" style="88" customWidth="1"/>
    <col min="5633" max="5633" width="14.5546875" style="88" bestFit="1" customWidth="1"/>
    <col min="5634" max="5634" width="7.44140625" style="88" bestFit="1" customWidth="1"/>
    <col min="5635" max="5635" width="30.33203125" style="88" bestFit="1" customWidth="1"/>
    <col min="5636" max="5636" width="14" style="88" bestFit="1" customWidth="1"/>
    <col min="5637" max="5637" width="16.44140625" style="88" bestFit="1" customWidth="1"/>
    <col min="5638" max="5638" width="12.6640625" style="88" bestFit="1" customWidth="1"/>
    <col min="5639" max="5639" width="25" style="88" bestFit="1" customWidth="1"/>
    <col min="5640" max="5888" width="9.109375" style="88" customWidth="1"/>
    <col min="5889" max="5889" width="14.5546875" style="88" bestFit="1" customWidth="1"/>
    <col min="5890" max="5890" width="7.44140625" style="88" bestFit="1" customWidth="1"/>
    <col min="5891" max="5891" width="30.33203125" style="88" bestFit="1" customWidth="1"/>
    <col min="5892" max="5892" width="14" style="88" bestFit="1" customWidth="1"/>
    <col min="5893" max="5893" width="16.44140625" style="88" bestFit="1" customWidth="1"/>
    <col min="5894" max="5894" width="12.6640625" style="88" bestFit="1" customWidth="1"/>
    <col min="5895" max="5895" width="25" style="88" bestFit="1" customWidth="1"/>
    <col min="5896" max="6144" width="9.109375" style="88" customWidth="1"/>
    <col min="6145" max="6145" width="14.5546875" style="88" bestFit="1" customWidth="1"/>
    <col min="6146" max="6146" width="7.44140625" style="88" bestFit="1" customWidth="1"/>
    <col min="6147" max="6147" width="30.33203125" style="88" bestFit="1" customWidth="1"/>
    <col min="6148" max="6148" width="14" style="88" bestFit="1" customWidth="1"/>
    <col min="6149" max="6149" width="16.44140625" style="88" bestFit="1" customWidth="1"/>
    <col min="6150" max="6150" width="12.6640625" style="88" bestFit="1" customWidth="1"/>
    <col min="6151" max="6151" width="25" style="88" bestFit="1" customWidth="1"/>
    <col min="6152" max="6400" width="9.109375" style="88" customWidth="1"/>
    <col min="6401" max="6401" width="14.5546875" style="88" bestFit="1" customWidth="1"/>
    <col min="6402" max="6402" width="7.44140625" style="88" bestFit="1" customWidth="1"/>
    <col min="6403" max="6403" width="30.33203125" style="88" bestFit="1" customWidth="1"/>
    <col min="6404" max="6404" width="14" style="88" bestFit="1" customWidth="1"/>
    <col min="6405" max="6405" width="16.44140625" style="88" bestFit="1" customWidth="1"/>
    <col min="6406" max="6406" width="12.6640625" style="88" bestFit="1" customWidth="1"/>
    <col min="6407" max="6407" width="25" style="88" bestFit="1" customWidth="1"/>
    <col min="6408" max="6656" width="9.109375" style="88" customWidth="1"/>
    <col min="6657" max="6657" width="14.5546875" style="88" bestFit="1" customWidth="1"/>
    <col min="6658" max="6658" width="7.44140625" style="88" bestFit="1" customWidth="1"/>
    <col min="6659" max="6659" width="30.33203125" style="88" bestFit="1" customWidth="1"/>
    <col min="6660" max="6660" width="14" style="88" bestFit="1" customWidth="1"/>
    <col min="6661" max="6661" width="16.44140625" style="88" bestFit="1" customWidth="1"/>
    <col min="6662" max="6662" width="12.6640625" style="88" bestFit="1" customWidth="1"/>
    <col min="6663" max="6663" width="25" style="88" bestFit="1" customWidth="1"/>
    <col min="6664" max="6912" width="9.109375" style="88" customWidth="1"/>
    <col min="6913" max="6913" width="14.5546875" style="88" bestFit="1" customWidth="1"/>
    <col min="6914" max="6914" width="7.44140625" style="88" bestFit="1" customWidth="1"/>
    <col min="6915" max="6915" width="30.33203125" style="88" bestFit="1" customWidth="1"/>
    <col min="6916" max="6916" width="14" style="88" bestFit="1" customWidth="1"/>
    <col min="6917" max="6917" width="16.44140625" style="88" bestFit="1" customWidth="1"/>
    <col min="6918" max="6918" width="12.6640625" style="88" bestFit="1" customWidth="1"/>
    <col min="6919" max="6919" width="25" style="88" bestFit="1" customWidth="1"/>
    <col min="6920" max="7168" width="9.109375" style="88" customWidth="1"/>
    <col min="7169" max="7169" width="14.5546875" style="88" bestFit="1" customWidth="1"/>
    <col min="7170" max="7170" width="7.44140625" style="88" bestFit="1" customWidth="1"/>
    <col min="7171" max="7171" width="30.33203125" style="88" bestFit="1" customWidth="1"/>
    <col min="7172" max="7172" width="14" style="88" bestFit="1" customWidth="1"/>
    <col min="7173" max="7173" width="16.44140625" style="88" bestFit="1" customWidth="1"/>
    <col min="7174" max="7174" width="12.6640625" style="88" bestFit="1" customWidth="1"/>
    <col min="7175" max="7175" width="25" style="88" bestFit="1" customWidth="1"/>
    <col min="7176" max="7424" width="9.109375" style="88" customWidth="1"/>
    <col min="7425" max="7425" width="14.5546875" style="88" bestFit="1" customWidth="1"/>
    <col min="7426" max="7426" width="7.44140625" style="88" bestFit="1" customWidth="1"/>
    <col min="7427" max="7427" width="30.33203125" style="88" bestFit="1" customWidth="1"/>
    <col min="7428" max="7428" width="14" style="88" bestFit="1" customWidth="1"/>
    <col min="7429" max="7429" width="16.44140625" style="88" bestFit="1" customWidth="1"/>
    <col min="7430" max="7430" width="12.6640625" style="88" bestFit="1" customWidth="1"/>
    <col min="7431" max="7431" width="25" style="88" bestFit="1" customWidth="1"/>
    <col min="7432" max="7680" width="9.109375" style="88" customWidth="1"/>
    <col min="7681" max="7681" width="14.5546875" style="88" bestFit="1" customWidth="1"/>
    <col min="7682" max="7682" width="7.44140625" style="88" bestFit="1" customWidth="1"/>
    <col min="7683" max="7683" width="30.33203125" style="88" bestFit="1" customWidth="1"/>
    <col min="7684" max="7684" width="14" style="88" bestFit="1" customWidth="1"/>
    <col min="7685" max="7685" width="16.44140625" style="88" bestFit="1" customWidth="1"/>
    <col min="7686" max="7686" width="12.6640625" style="88" bestFit="1" customWidth="1"/>
    <col min="7687" max="7687" width="25" style="88" bestFit="1" customWidth="1"/>
    <col min="7688" max="7936" width="9.109375" style="88" customWidth="1"/>
    <col min="7937" max="7937" width="14.5546875" style="88" bestFit="1" customWidth="1"/>
    <col min="7938" max="7938" width="7.44140625" style="88" bestFit="1" customWidth="1"/>
    <col min="7939" max="7939" width="30.33203125" style="88" bestFit="1" customWidth="1"/>
    <col min="7940" max="7940" width="14" style="88" bestFit="1" customWidth="1"/>
    <col min="7941" max="7941" width="16.44140625" style="88" bestFit="1" customWidth="1"/>
    <col min="7942" max="7942" width="12.6640625" style="88" bestFit="1" customWidth="1"/>
    <col min="7943" max="7943" width="25" style="88" bestFit="1" customWidth="1"/>
    <col min="7944" max="8192" width="9.109375" style="88" customWidth="1"/>
    <col min="8193" max="8193" width="14.5546875" style="88" bestFit="1" customWidth="1"/>
    <col min="8194" max="8194" width="7.44140625" style="88" bestFit="1" customWidth="1"/>
    <col min="8195" max="8195" width="30.33203125" style="88" bestFit="1" customWidth="1"/>
    <col min="8196" max="8196" width="14" style="88" bestFit="1" customWidth="1"/>
    <col min="8197" max="8197" width="16.44140625" style="88" bestFit="1" customWidth="1"/>
    <col min="8198" max="8198" width="12.6640625" style="88" bestFit="1" customWidth="1"/>
    <col min="8199" max="8199" width="25" style="88" bestFit="1" customWidth="1"/>
    <col min="8200" max="8448" width="9.109375" style="88" customWidth="1"/>
    <col min="8449" max="8449" width="14.5546875" style="88" bestFit="1" customWidth="1"/>
    <col min="8450" max="8450" width="7.44140625" style="88" bestFit="1" customWidth="1"/>
    <col min="8451" max="8451" width="30.33203125" style="88" bestFit="1" customWidth="1"/>
    <col min="8452" max="8452" width="14" style="88" bestFit="1" customWidth="1"/>
    <col min="8453" max="8453" width="16.44140625" style="88" bestFit="1" customWidth="1"/>
    <col min="8454" max="8454" width="12.6640625" style="88" bestFit="1" customWidth="1"/>
    <col min="8455" max="8455" width="25" style="88" bestFit="1" customWidth="1"/>
    <col min="8456" max="8704" width="9.109375" style="88" customWidth="1"/>
    <col min="8705" max="8705" width="14.5546875" style="88" bestFit="1" customWidth="1"/>
    <col min="8706" max="8706" width="7.44140625" style="88" bestFit="1" customWidth="1"/>
    <col min="8707" max="8707" width="30.33203125" style="88" bestFit="1" customWidth="1"/>
    <col min="8708" max="8708" width="14" style="88" bestFit="1" customWidth="1"/>
    <col min="8709" max="8709" width="16.44140625" style="88" bestFit="1" customWidth="1"/>
    <col min="8710" max="8710" width="12.6640625" style="88" bestFit="1" customWidth="1"/>
    <col min="8711" max="8711" width="25" style="88" bestFit="1" customWidth="1"/>
    <col min="8712" max="8960" width="9.109375" style="88" customWidth="1"/>
    <col min="8961" max="8961" width="14.5546875" style="88" bestFit="1" customWidth="1"/>
    <col min="8962" max="8962" width="7.44140625" style="88" bestFit="1" customWidth="1"/>
    <col min="8963" max="8963" width="30.33203125" style="88" bestFit="1" customWidth="1"/>
    <col min="8964" max="8964" width="14" style="88" bestFit="1" customWidth="1"/>
    <col min="8965" max="8965" width="16.44140625" style="88" bestFit="1" customWidth="1"/>
    <col min="8966" max="8966" width="12.6640625" style="88" bestFit="1" customWidth="1"/>
    <col min="8967" max="8967" width="25" style="88" bestFit="1" customWidth="1"/>
    <col min="8968" max="9216" width="9.109375" style="88" customWidth="1"/>
    <col min="9217" max="9217" width="14.5546875" style="88" bestFit="1" customWidth="1"/>
    <col min="9218" max="9218" width="7.44140625" style="88" bestFit="1" customWidth="1"/>
    <col min="9219" max="9219" width="30.33203125" style="88" bestFit="1" customWidth="1"/>
    <col min="9220" max="9220" width="14" style="88" bestFit="1" customWidth="1"/>
    <col min="9221" max="9221" width="16.44140625" style="88" bestFit="1" customWidth="1"/>
    <col min="9222" max="9222" width="12.6640625" style="88" bestFit="1" customWidth="1"/>
    <col min="9223" max="9223" width="25" style="88" bestFit="1" customWidth="1"/>
    <col min="9224" max="9472" width="9.109375" style="88" customWidth="1"/>
    <col min="9473" max="9473" width="14.5546875" style="88" bestFit="1" customWidth="1"/>
    <col min="9474" max="9474" width="7.44140625" style="88" bestFit="1" customWidth="1"/>
    <col min="9475" max="9475" width="30.33203125" style="88" bestFit="1" customWidth="1"/>
    <col min="9476" max="9476" width="14" style="88" bestFit="1" customWidth="1"/>
    <col min="9477" max="9477" width="16.44140625" style="88" bestFit="1" customWidth="1"/>
    <col min="9478" max="9478" width="12.6640625" style="88" bestFit="1" customWidth="1"/>
    <col min="9479" max="9479" width="25" style="88" bestFit="1" customWidth="1"/>
    <col min="9480" max="9728" width="9.109375" style="88" customWidth="1"/>
    <col min="9729" max="9729" width="14.5546875" style="88" bestFit="1" customWidth="1"/>
    <col min="9730" max="9730" width="7.44140625" style="88" bestFit="1" customWidth="1"/>
    <col min="9731" max="9731" width="30.33203125" style="88" bestFit="1" customWidth="1"/>
    <col min="9732" max="9732" width="14" style="88" bestFit="1" customWidth="1"/>
    <col min="9733" max="9733" width="16.44140625" style="88" bestFit="1" customWidth="1"/>
    <col min="9734" max="9734" width="12.6640625" style="88" bestFit="1" customWidth="1"/>
    <col min="9735" max="9735" width="25" style="88" bestFit="1" customWidth="1"/>
    <col min="9736" max="9984" width="9.109375" style="88" customWidth="1"/>
    <col min="9985" max="9985" width="14.5546875" style="88" bestFit="1" customWidth="1"/>
    <col min="9986" max="9986" width="7.44140625" style="88" bestFit="1" customWidth="1"/>
    <col min="9987" max="9987" width="30.33203125" style="88" bestFit="1" customWidth="1"/>
    <col min="9988" max="9988" width="14" style="88" bestFit="1" customWidth="1"/>
    <col min="9989" max="9989" width="16.44140625" style="88" bestFit="1" customWidth="1"/>
    <col min="9990" max="9990" width="12.6640625" style="88" bestFit="1" customWidth="1"/>
    <col min="9991" max="9991" width="25" style="88" bestFit="1" customWidth="1"/>
    <col min="9992" max="10240" width="9.109375" style="88" customWidth="1"/>
    <col min="10241" max="10241" width="14.5546875" style="88" bestFit="1" customWidth="1"/>
    <col min="10242" max="10242" width="7.44140625" style="88" bestFit="1" customWidth="1"/>
    <col min="10243" max="10243" width="30.33203125" style="88" bestFit="1" customWidth="1"/>
    <col min="10244" max="10244" width="14" style="88" bestFit="1" customWidth="1"/>
    <col min="10245" max="10245" width="16.44140625" style="88" bestFit="1" customWidth="1"/>
    <col min="10246" max="10246" width="12.6640625" style="88" bestFit="1" customWidth="1"/>
    <col min="10247" max="10247" width="25" style="88" bestFit="1" customWidth="1"/>
    <col min="10248" max="10496" width="9.109375" style="88" customWidth="1"/>
    <col min="10497" max="10497" width="14.5546875" style="88" bestFit="1" customWidth="1"/>
    <col min="10498" max="10498" width="7.44140625" style="88" bestFit="1" customWidth="1"/>
    <col min="10499" max="10499" width="30.33203125" style="88" bestFit="1" customWidth="1"/>
    <col min="10500" max="10500" width="14" style="88" bestFit="1" customWidth="1"/>
    <col min="10501" max="10501" width="16.44140625" style="88" bestFit="1" customWidth="1"/>
    <col min="10502" max="10502" width="12.6640625" style="88" bestFit="1" customWidth="1"/>
    <col min="10503" max="10503" width="25" style="88" bestFit="1" customWidth="1"/>
    <col min="10504" max="10752" width="9.109375" style="88" customWidth="1"/>
    <col min="10753" max="10753" width="14.5546875" style="88" bestFit="1" customWidth="1"/>
    <col min="10754" max="10754" width="7.44140625" style="88" bestFit="1" customWidth="1"/>
    <col min="10755" max="10755" width="30.33203125" style="88" bestFit="1" customWidth="1"/>
    <col min="10756" max="10756" width="14" style="88" bestFit="1" customWidth="1"/>
    <col min="10757" max="10757" width="16.44140625" style="88" bestFit="1" customWidth="1"/>
    <col min="10758" max="10758" width="12.6640625" style="88" bestFit="1" customWidth="1"/>
    <col min="10759" max="10759" width="25" style="88" bestFit="1" customWidth="1"/>
    <col min="10760" max="11008" width="9.109375" style="88" customWidth="1"/>
    <col min="11009" max="11009" width="14.5546875" style="88" bestFit="1" customWidth="1"/>
    <col min="11010" max="11010" width="7.44140625" style="88" bestFit="1" customWidth="1"/>
    <col min="11011" max="11011" width="30.33203125" style="88" bestFit="1" customWidth="1"/>
    <col min="11012" max="11012" width="14" style="88" bestFit="1" customWidth="1"/>
    <col min="11013" max="11013" width="16.44140625" style="88" bestFit="1" customWidth="1"/>
    <col min="11014" max="11014" width="12.6640625" style="88" bestFit="1" customWidth="1"/>
    <col min="11015" max="11015" width="25" style="88" bestFit="1" customWidth="1"/>
    <col min="11016" max="11264" width="9.109375" style="88" customWidth="1"/>
    <col min="11265" max="11265" width="14.5546875" style="88" bestFit="1" customWidth="1"/>
    <col min="11266" max="11266" width="7.44140625" style="88" bestFit="1" customWidth="1"/>
    <col min="11267" max="11267" width="30.33203125" style="88" bestFit="1" customWidth="1"/>
    <col min="11268" max="11268" width="14" style="88" bestFit="1" customWidth="1"/>
    <col min="11269" max="11269" width="16.44140625" style="88" bestFit="1" customWidth="1"/>
    <col min="11270" max="11270" width="12.6640625" style="88" bestFit="1" customWidth="1"/>
    <col min="11271" max="11271" width="25" style="88" bestFit="1" customWidth="1"/>
    <col min="11272" max="11520" width="9.109375" style="88" customWidth="1"/>
    <col min="11521" max="11521" width="14.5546875" style="88" bestFit="1" customWidth="1"/>
    <col min="11522" max="11522" width="7.44140625" style="88" bestFit="1" customWidth="1"/>
    <col min="11523" max="11523" width="30.33203125" style="88" bestFit="1" customWidth="1"/>
    <col min="11524" max="11524" width="14" style="88" bestFit="1" customWidth="1"/>
    <col min="11525" max="11525" width="16.44140625" style="88" bestFit="1" customWidth="1"/>
    <col min="11526" max="11526" width="12.6640625" style="88" bestFit="1" customWidth="1"/>
    <col min="11527" max="11527" width="25" style="88" bestFit="1" customWidth="1"/>
    <col min="11528" max="11776" width="9.109375" style="88" customWidth="1"/>
    <col min="11777" max="11777" width="14.5546875" style="88" bestFit="1" customWidth="1"/>
    <col min="11778" max="11778" width="7.44140625" style="88" bestFit="1" customWidth="1"/>
    <col min="11779" max="11779" width="30.33203125" style="88" bestFit="1" customWidth="1"/>
    <col min="11780" max="11780" width="14" style="88" bestFit="1" customWidth="1"/>
    <col min="11781" max="11781" width="16.44140625" style="88" bestFit="1" customWidth="1"/>
    <col min="11782" max="11782" width="12.6640625" style="88" bestFit="1" customWidth="1"/>
    <col min="11783" max="11783" width="25" style="88" bestFit="1" customWidth="1"/>
    <col min="11784" max="12032" width="9.109375" style="88" customWidth="1"/>
    <col min="12033" max="12033" width="14.5546875" style="88" bestFit="1" customWidth="1"/>
    <col min="12034" max="12034" width="7.44140625" style="88" bestFit="1" customWidth="1"/>
    <col min="12035" max="12035" width="30.33203125" style="88" bestFit="1" customWidth="1"/>
    <col min="12036" max="12036" width="14" style="88" bestFit="1" customWidth="1"/>
    <col min="12037" max="12037" width="16.44140625" style="88" bestFit="1" customWidth="1"/>
    <col min="12038" max="12038" width="12.6640625" style="88" bestFit="1" customWidth="1"/>
    <col min="12039" max="12039" width="25" style="88" bestFit="1" customWidth="1"/>
    <col min="12040" max="12288" width="9.109375" style="88" customWidth="1"/>
    <col min="12289" max="12289" width="14.5546875" style="88" bestFit="1" customWidth="1"/>
    <col min="12290" max="12290" width="7.44140625" style="88" bestFit="1" customWidth="1"/>
    <col min="12291" max="12291" width="30.33203125" style="88" bestFit="1" customWidth="1"/>
    <col min="12292" max="12292" width="14" style="88" bestFit="1" customWidth="1"/>
    <col min="12293" max="12293" width="16.44140625" style="88" bestFit="1" customWidth="1"/>
    <col min="12294" max="12294" width="12.6640625" style="88" bestFit="1" customWidth="1"/>
    <col min="12295" max="12295" width="25" style="88" bestFit="1" customWidth="1"/>
    <col min="12296" max="12544" width="9.109375" style="88" customWidth="1"/>
    <col min="12545" max="12545" width="14.5546875" style="88" bestFit="1" customWidth="1"/>
    <col min="12546" max="12546" width="7.44140625" style="88" bestFit="1" customWidth="1"/>
    <col min="12547" max="12547" width="30.33203125" style="88" bestFit="1" customWidth="1"/>
    <col min="12548" max="12548" width="14" style="88" bestFit="1" customWidth="1"/>
    <col min="12549" max="12549" width="16.44140625" style="88" bestFit="1" customWidth="1"/>
    <col min="12550" max="12550" width="12.6640625" style="88" bestFit="1" customWidth="1"/>
    <col min="12551" max="12551" width="25" style="88" bestFit="1" customWidth="1"/>
    <col min="12552" max="12800" width="9.109375" style="88" customWidth="1"/>
    <col min="12801" max="12801" width="14.5546875" style="88" bestFit="1" customWidth="1"/>
    <col min="12802" max="12802" width="7.44140625" style="88" bestFit="1" customWidth="1"/>
    <col min="12803" max="12803" width="30.33203125" style="88" bestFit="1" customWidth="1"/>
    <col min="12804" max="12804" width="14" style="88" bestFit="1" customWidth="1"/>
    <col min="12805" max="12805" width="16.44140625" style="88" bestFit="1" customWidth="1"/>
    <col min="12806" max="12806" width="12.6640625" style="88" bestFit="1" customWidth="1"/>
    <col min="12807" max="12807" width="25" style="88" bestFit="1" customWidth="1"/>
    <col min="12808" max="13056" width="9.109375" style="88" customWidth="1"/>
    <col min="13057" max="13057" width="14.5546875" style="88" bestFit="1" customWidth="1"/>
    <col min="13058" max="13058" width="7.44140625" style="88" bestFit="1" customWidth="1"/>
    <col min="13059" max="13059" width="30.33203125" style="88" bestFit="1" customWidth="1"/>
    <col min="13060" max="13060" width="14" style="88" bestFit="1" customWidth="1"/>
    <col min="13061" max="13061" width="16.44140625" style="88" bestFit="1" customWidth="1"/>
    <col min="13062" max="13062" width="12.6640625" style="88" bestFit="1" customWidth="1"/>
    <col min="13063" max="13063" width="25" style="88" bestFit="1" customWidth="1"/>
    <col min="13064" max="13312" width="9.109375" style="88" customWidth="1"/>
    <col min="13313" max="13313" width="14.5546875" style="88" bestFit="1" customWidth="1"/>
    <col min="13314" max="13314" width="7.44140625" style="88" bestFit="1" customWidth="1"/>
    <col min="13315" max="13315" width="30.33203125" style="88" bestFit="1" customWidth="1"/>
    <col min="13316" max="13316" width="14" style="88" bestFit="1" customWidth="1"/>
    <col min="13317" max="13317" width="16.44140625" style="88" bestFit="1" customWidth="1"/>
    <col min="13318" max="13318" width="12.6640625" style="88" bestFit="1" customWidth="1"/>
    <col min="13319" max="13319" width="25" style="88" bestFit="1" customWidth="1"/>
    <col min="13320" max="13568" width="9.109375" style="88" customWidth="1"/>
    <col min="13569" max="13569" width="14.5546875" style="88" bestFit="1" customWidth="1"/>
    <col min="13570" max="13570" width="7.44140625" style="88" bestFit="1" customWidth="1"/>
    <col min="13571" max="13571" width="30.33203125" style="88" bestFit="1" customWidth="1"/>
    <col min="13572" max="13572" width="14" style="88" bestFit="1" customWidth="1"/>
    <col min="13573" max="13573" width="16.44140625" style="88" bestFit="1" customWidth="1"/>
    <col min="13574" max="13574" width="12.6640625" style="88" bestFit="1" customWidth="1"/>
    <col min="13575" max="13575" width="25" style="88" bestFit="1" customWidth="1"/>
    <col min="13576" max="13824" width="9.109375" style="88" customWidth="1"/>
    <col min="13825" max="13825" width="14.5546875" style="88" bestFit="1" customWidth="1"/>
    <col min="13826" max="13826" width="7.44140625" style="88" bestFit="1" customWidth="1"/>
    <col min="13827" max="13827" width="30.33203125" style="88" bestFit="1" customWidth="1"/>
    <col min="13828" max="13828" width="14" style="88" bestFit="1" customWidth="1"/>
    <col min="13829" max="13829" width="16.44140625" style="88" bestFit="1" customWidth="1"/>
    <col min="13830" max="13830" width="12.6640625" style="88" bestFit="1" customWidth="1"/>
    <col min="13831" max="13831" width="25" style="88" bestFit="1" customWidth="1"/>
    <col min="13832" max="14080" width="9.109375" style="88" customWidth="1"/>
    <col min="14081" max="14081" width="14.5546875" style="88" bestFit="1" customWidth="1"/>
    <col min="14082" max="14082" width="7.44140625" style="88" bestFit="1" customWidth="1"/>
    <col min="14083" max="14083" width="30.33203125" style="88" bestFit="1" customWidth="1"/>
    <col min="14084" max="14084" width="14" style="88" bestFit="1" customWidth="1"/>
    <col min="14085" max="14085" width="16.44140625" style="88" bestFit="1" customWidth="1"/>
    <col min="14086" max="14086" width="12.6640625" style="88" bestFit="1" customWidth="1"/>
    <col min="14087" max="14087" width="25" style="88" bestFit="1" customWidth="1"/>
    <col min="14088" max="14336" width="9.109375" style="88" customWidth="1"/>
    <col min="14337" max="14337" width="14.5546875" style="88" bestFit="1" customWidth="1"/>
    <col min="14338" max="14338" width="7.44140625" style="88" bestFit="1" customWidth="1"/>
    <col min="14339" max="14339" width="30.33203125" style="88" bestFit="1" customWidth="1"/>
    <col min="14340" max="14340" width="14" style="88" bestFit="1" customWidth="1"/>
    <col min="14341" max="14341" width="16.44140625" style="88" bestFit="1" customWidth="1"/>
    <col min="14342" max="14342" width="12.6640625" style="88" bestFit="1" customWidth="1"/>
    <col min="14343" max="14343" width="25" style="88" bestFit="1" customWidth="1"/>
    <col min="14344" max="14592" width="9.109375" style="88" customWidth="1"/>
    <col min="14593" max="14593" width="14.5546875" style="88" bestFit="1" customWidth="1"/>
    <col min="14594" max="14594" width="7.44140625" style="88" bestFit="1" customWidth="1"/>
    <col min="14595" max="14595" width="30.33203125" style="88" bestFit="1" customWidth="1"/>
    <col min="14596" max="14596" width="14" style="88" bestFit="1" customWidth="1"/>
    <col min="14597" max="14597" width="16.44140625" style="88" bestFit="1" customWidth="1"/>
    <col min="14598" max="14598" width="12.6640625" style="88" bestFit="1" customWidth="1"/>
    <col min="14599" max="14599" width="25" style="88" bestFit="1" customWidth="1"/>
    <col min="14600" max="14848" width="9.109375" style="88" customWidth="1"/>
    <col min="14849" max="14849" width="14.5546875" style="88" bestFit="1" customWidth="1"/>
    <col min="14850" max="14850" width="7.44140625" style="88" bestFit="1" customWidth="1"/>
    <col min="14851" max="14851" width="30.33203125" style="88" bestFit="1" customWidth="1"/>
    <col min="14852" max="14852" width="14" style="88" bestFit="1" customWidth="1"/>
    <col min="14853" max="14853" width="16.44140625" style="88" bestFit="1" customWidth="1"/>
    <col min="14854" max="14854" width="12.6640625" style="88" bestFit="1" customWidth="1"/>
    <col min="14855" max="14855" width="25" style="88" bestFit="1" customWidth="1"/>
    <col min="14856" max="15104" width="9.109375" style="88" customWidth="1"/>
    <col min="15105" max="15105" width="14.5546875" style="88" bestFit="1" customWidth="1"/>
    <col min="15106" max="15106" width="7.44140625" style="88" bestFit="1" customWidth="1"/>
    <col min="15107" max="15107" width="30.33203125" style="88" bestFit="1" customWidth="1"/>
    <col min="15108" max="15108" width="14" style="88" bestFit="1" customWidth="1"/>
    <col min="15109" max="15109" width="16.44140625" style="88" bestFit="1" customWidth="1"/>
    <col min="15110" max="15110" width="12.6640625" style="88" bestFit="1" customWidth="1"/>
    <col min="15111" max="15111" width="25" style="88" bestFit="1" customWidth="1"/>
    <col min="15112" max="15360" width="9.109375" style="88" customWidth="1"/>
    <col min="15361" max="15361" width="14.5546875" style="88" bestFit="1" customWidth="1"/>
    <col min="15362" max="15362" width="7.44140625" style="88" bestFit="1" customWidth="1"/>
    <col min="15363" max="15363" width="30.33203125" style="88" bestFit="1" customWidth="1"/>
    <col min="15364" max="15364" width="14" style="88" bestFit="1" customWidth="1"/>
    <col min="15365" max="15365" width="16.44140625" style="88" bestFit="1" customWidth="1"/>
    <col min="15366" max="15366" width="12.6640625" style="88" bestFit="1" customWidth="1"/>
    <col min="15367" max="15367" width="25" style="88" bestFit="1" customWidth="1"/>
    <col min="15368" max="15616" width="9.109375" style="88" customWidth="1"/>
    <col min="15617" max="15617" width="14.5546875" style="88" bestFit="1" customWidth="1"/>
    <col min="15618" max="15618" width="7.44140625" style="88" bestFit="1" customWidth="1"/>
    <col min="15619" max="15619" width="30.33203125" style="88" bestFit="1" customWidth="1"/>
    <col min="15620" max="15620" width="14" style="88" bestFit="1" customWidth="1"/>
    <col min="15621" max="15621" width="16.44140625" style="88" bestFit="1" customWidth="1"/>
    <col min="15622" max="15622" width="12.6640625" style="88" bestFit="1" customWidth="1"/>
    <col min="15623" max="15623" width="25" style="88" bestFit="1" customWidth="1"/>
    <col min="15624" max="15872" width="9.109375" style="88" customWidth="1"/>
    <col min="15873" max="15873" width="14.5546875" style="88" bestFit="1" customWidth="1"/>
    <col min="15874" max="15874" width="7.44140625" style="88" bestFit="1" customWidth="1"/>
    <col min="15875" max="15875" width="30.33203125" style="88" bestFit="1" customWidth="1"/>
    <col min="15876" max="15876" width="14" style="88" bestFit="1" customWidth="1"/>
    <col min="15877" max="15877" width="16.44140625" style="88" bestFit="1" customWidth="1"/>
    <col min="15878" max="15878" width="12.6640625" style="88" bestFit="1" customWidth="1"/>
    <col min="15879" max="15879" width="25" style="88" bestFit="1" customWidth="1"/>
    <col min="15880" max="16128" width="9.109375" style="88" customWidth="1"/>
    <col min="16129" max="16129" width="14.5546875" style="88" bestFit="1" customWidth="1"/>
    <col min="16130" max="16130" width="7.44140625" style="88" bestFit="1" customWidth="1"/>
    <col min="16131" max="16131" width="30.33203125" style="88" bestFit="1" customWidth="1"/>
    <col min="16132" max="16132" width="14" style="88" bestFit="1" customWidth="1"/>
    <col min="16133" max="16133" width="16.44140625" style="88" bestFit="1" customWidth="1"/>
    <col min="16134" max="16134" width="12.6640625" style="88" bestFit="1" customWidth="1"/>
    <col min="16135" max="16135" width="25" style="88" bestFit="1" customWidth="1"/>
    <col min="16136" max="16384" width="9.109375" style="88" customWidth="1"/>
  </cols>
  <sheetData>
    <row r="1" spans="1:11" x14ac:dyDescent="0.3">
      <c r="A1" s="164"/>
      <c r="B1" s="164"/>
      <c r="C1" s="164"/>
      <c r="D1" s="165"/>
      <c r="E1" s="164"/>
      <c r="F1" s="165"/>
      <c r="G1" s="164"/>
    </row>
    <row r="2" spans="1:11" x14ac:dyDescent="0.3">
      <c r="A2" s="166"/>
      <c r="B2" s="167"/>
      <c r="C2" s="167"/>
      <c r="D2" s="168"/>
      <c r="E2" s="166"/>
      <c r="F2" s="169"/>
      <c r="G2" s="170"/>
      <c r="H2" s="160"/>
      <c r="I2" s="171"/>
      <c r="J2" s="171"/>
      <c r="K2" s="171"/>
    </row>
    <row r="3" spans="1:11" x14ac:dyDescent="0.3">
      <c r="A3" s="166"/>
      <c r="B3" s="167"/>
      <c r="C3" s="167"/>
      <c r="D3" s="168"/>
      <c r="E3" s="166"/>
      <c r="F3" s="169"/>
      <c r="G3" s="170"/>
      <c r="H3" s="160"/>
      <c r="I3" s="171"/>
      <c r="J3" s="171"/>
      <c r="K3" s="171"/>
    </row>
    <row r="4" spans="1:11" x14ac:dyDescent="0.3">
      <c r="A4" s="166"/>
      <c r="B4" s="167"/>
      <c r="C4" s="167"/>
      <c r="D4" s="168"/>
      <c r="E4" s="166"/>
      <c r="F4" s="169"/>
      <c r="G4" s="170"/>
      <c r="H4" s="160"/>
      <c r="I4" s="171"/>
      <c r="J4" s="171"/>
      <c r="K4" s="171"/>
    </row>
    <row r="5" spans="1:11" x14ac:dyDescent="0.3">
      <c r="A5" s="166"/>
      <c r="B5" s="167"/>
      <c r="C5" s="167"/>
      <c r="D5" s="168"/>
      <c r="E5" s="166"/>
      <c r="F5" s="169"/>
      <c r="G5" s="170"/>
      <c r="H5" s="160"/>
      <c r="I5" s="171"/>
      <c r="J5" s="171"/>
      <c r="K5" s="171"/>
    </row>
    <row r="6" spans="1:11" x14ac:dyDescent="0.3">
      <c r="A6" s="171"/>
      <c r="B6" s="161"/>
      <c r="C6" s="161"/>
      <c r="D6" s="171"/>
      <c r="E6" s="171"/>
      <c r="F6" s="160"/>
      <c r="G6" s="160"/>
      <c r="H6" s="160"/>
      <c r="I6" s="171"/>
      <c r="J6" s="171"/>
      <c r="K6" s="171"/>
    </row>
    <row r="7" spans="1:11" x14ac:dyDescent="0.3">
      <c r="A7" s="171"/>
      <c r="B7" s="161"/>
      <c r="C7" s="161"/>
      <c r="D7" s="171"/>
      <c r="E7" s="171"/>
      <c r="F7" s="160"/>
      <c r="G7" s="160"/>
      <c r="H7" s="160"/>
      <c r="I7" s="171"/>
      <c r="J7" s="171"/>
      <c r="K7" s="171"/>
    </row>
    <row r="8" spans="1:11" x14ac:dyDescent="0.3">
      <c r="A8" s="171"/>
      <c r="B8" s="161"/>
      <c r="C8" s="161"/>
      <c r="D8" s="171"/>
      <c r="E8" s="171"/>
      <c r="F8" s="160"/>
      <c r="G8" s="160"/>
      <c r="H8" s="160"/>
      <c r="I8" s="171"/>
      <c r="J8" s="171"/>
      <c r="K8" s="171"/>
    </row>
    <row r="9" spans="1:11" x14ac:dyDescent="0.3">
      <c r="A9" s="171"/>
      <c r="B9" s="161"/>
      <c r="C9" s="161"/>
      <c r="D9" s="171"/>
      <c r="E9" s="171"/>
      <c r="F9" s="160"/>
      <c r="G9" s="160"/>
      <c r="H9" s="160"/>
      <c r="I9" s="171"/>
      <c r="J9" s="171"/>
      <c r="K9" s="171"/>
    </row>
    <row r="10" spans="1:11" x14ac:dyDescent="0.3">
      <c r="A10" s="171"/>
      <c r="B10" s="161"/>
      <c r="C10" s="161"/>
      <c r="D10" s="171"/>
      <c r="E10" s="171"/>
      <c r="F10" s="160"/>
      <c r="G10" s="160"/>
      <c r="H10" s="160"/>
      <c r="I10" s="171"/>
      <c r="J10" s="171"/>
      <c r="K10" s="171"/>
    </row>
    <row r="11" spans="1:11" x14ac:dyDescent="0.3">
      <c r="A11" s="171"/>
      <c r="B11" s="161"/>
      <c r="C11" s="161"/>
      <c r="D11" s="171"/>
      <c r="E11" s="171"/>
      <c r="F11" s="160"/>
      <c r="G11" s="160"/>
      <c r="H11" s="160"/>
      <c r="I11" s="171"/>
      <c r="J11" s="171"/>
      <c r="K11" s="171"/>
    </row>
    <row r="12" spans="1:11" x14ac:dyDescent="0.3">
      <c r="A12" s="171"/>
      <c r="B12" s="161"/>
      <c r="C12" s="161"/>
      <c r="D12" s="171"/>
      <c r="E12" s="171"/>
      <c r="F12" s="160"/>
      <c r="G12" s="160"/>
      <c r="H12" s="160"/>
      <c r="I12" s="171"/>
      <c r="J12" s="171"/>
      <c r="K12" s="171"/>
    </row>
    <row r="13" spans="1:11" x14ac:dyDescent="0.3">
      <c r="A13" s="161"/>
      <c r="B13" s="171"/>
      <c r="C13" s="171"/>
      <c r="D13" s="160"/>
      <c r="E13" s="171"/>
      <c r="F13" s="160"/>
      <c r="G13" s="171"/>
    </row>
    <row r="14" spans="1:11" x14ac:dyDescent="0.3">
      <c r="A14" s="161"/>
      <c r="B14" s="171"/>
      <c r="C14" s="171"/>
      <c r="D14" s="160"/>
      <c r="E14" s="171"/>
      <c r="F14" s="160"/>
      <c r="G14" s="17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"/>
  <sheetViews>
    <sheetView workbookViewId="0"/>
  </sheetViews>
  <sheetFormatPr defaultRowHeight="14.4" x14ac:dyDescent="0.3"/>
  <sheetData>
    <row r="1" spans="1:11" x14ac:dyDescent="0.3">
      <c r="A1" s="172"/>
      <c r="B1" s="172"/>
      <c r="C1" s="172"/>
      <c r="D1" s="172"/>
      <c r="E1" s="172"/>
      <c r="F1" s="172"/>
      <c r="G1" s="172"/>
      <c r="H1" s="172"/>
      <c r="I1" s="172"/>
      <c r="J1" s="172"/>
      <c r="K1" s="172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579"/>
  <sheetViews>
    <sheetView workbookViewId="0">
      <selection activeCell="B1" sqref="B1"/>
    </sheetView>
  </sheetViews>
  <sheetFormatPr defaultRowHeight="13.8" x14ac:dyDescent="0.3"/>
  <cols>
    <col min="1" max="1" width="13.109375" style="88" bestFit="1" customWidth="1"/>
    <col min="2" max="2" width="8.5546875" style="175" bestFit="1" customWidth="1"/>
    <col min="3" max="3" width="48.33203125" style="175" bestFit="1" customWidth="1"/>
    <col min="4" max="4" width="30" style="88" bestFit="1" customWidth="1"/>
    <col min="5" max="5" width="36.5546875" style="88" bestFit="1" customWidth="1"/>
    <col min="6" max="6" width="40.33203125" style="88" bestFit="1" customWidth="1"/>
    <col min="7" max="7" width="39.109375" style="88" bestFit="1" customWidth="1"/>
    <col min="8" max="8" width="10.88671875" style="88" bestFit="1" customWidth="1"/>
    <col min="9" max="9" width="11.6640625" style="88" bestFit="1" customWidth="1"/>
    <col min="10" max="10" width="21.44140625" style="88" bestFit="1" customWidth="1"/>
    <col min="11" max="11" width="40.33203125" style="88" bestFit="1" customWidth="1"/>
    <col min="12" max="12" width="17.6640625" style="88" bestFit="1" customWidth="1"/>
    <col min="13" max="256" width="9.109375" style="88" customWidth="1"/>
    <col min="257" max="257" width="13.109375" style="88" bestFit="1" customWidth="1"/>
    <col min="258" max="258" width="8.5546875" style="88" bestFit="1" customWidth="1"/>
    <col min="259" max="259" width="48.33203125" style="88" bestFit="1" customWidth="1"/>
    <col min="260" max="260" width="30" style="88" bestFit="1" customWidth="1"/>
    <col min="261" max="261" width="36.5546875" style="88" bestFit="1" customWidth="1"/>
    <col min="262" max="262" width="40.33203125" style="88" bestFit="1" customWidth="1"/>
    <col min="263" max="263" width="39.109375" style="88" bestFit="1" customWidth="1"/>
    <col min="264" max="264" width="10.88671875" style="88" bestFit="1" customWidth="1"/>
    <col min="265" max="265" width="11.6640625" style="88" bestFit="1" customWidth="1"/>
    <col min="266" max="266" width="21.44140625" style="88" bestFit="1" customWidth="1"/>
    <col min="267" max="267" width="40.33203125" style="88" bestFit="1" customWidth="1"/>
    <col min="268" max="268" width="17.6640625" style="88" bestFit="1" customWidth="1"/>
    <col min="269" max="512" width="9.109375" style="88" customWidth="1"/>
    <col min="513" max="513" width="13.109375" style="88" bestFit="1" customWidth="1"/>
    <col min="514" max="514" width="8.5546875" style="88" bestFit="1" customWidth="1"/>
    <col min="515" max="515" width="48.33203125" style="88" bestFit="1" customWidth="1"/>
    <col min="516" max="516" width="30" style="88" bestFit="1" customWidth="1"/>
    <col min="517" max="517" width="36.5546875" style="88" bestFit="1" customWidth="1"/>
    <col min="518" max="518" width="40.33203125" style="88" bestFit="1" customWidth="1"/>
    <col min="519" max="519" width="39.109375" style="88" bestFit="1" customWidth="1"/>
    <col min="520" max="520" width="10.88671875" style="88" bestFit="1" customWidth="1"/>
    <col min="521" max="521" width="11.6640625" style="88" bestFit="1" customWidth="1"/>
    <col min="522" max="522" width="21.44140625" style="88" bestFit="1" customWidth="1"/>
    <col min="523" max="523" width="40.33203125" style="88" bestFit="1" customWidth="1"/>
    <col min="524" max="524" width="17.6640625" style="88" bestFit="1" customWidth="1"/>
    <col min="525" max="768" width="9.109375" style="88" customWidth="1"/>
    <col min="769" max="769" width="13.109375" style="88" bestFit="1" customWidth="1"/>
    <col min="770" max="770" width="8.5546875" style="88" bestFit="1" customWidth="1"/>
    <col min="771" max="771" width="48.33203125" style="88" bestFit="1" customWidth="1"/>
    <col min="772" max="772" width="30" style="88" bestFit="1" customWidth="1"/>
    <col min="773" max="773" width="36.5546875" style="88" bestFit="1" customWidth="1"/>
    <col min="774" max="774" width="40.33203125" style="88" bestFit="1" customWidth="1"/>
    <col min="775" max="775" width="39.109375" style="88" bestFit="1" customWidth="1"/>
    <col min="776" max="776" width="10.88671875" style="88" bestFit="1" customWidth="1"/>
    <col min="777" max="777" width="11.6640625" style="88" bestFit="1" customWidth="1"/>
    <col min="778" max="778" width="21.44140625" style="88" bestFit="1" customWidth="1"/>
    <col min="779" max="779" width="40.33203125" style="88" bestFit="1" customWidth="1"/>
    <col min="780" max="780" width="17.6640625" style="88" bestFit="1" customWidth="1"/>
    <col min="781" max="1024" width="9.109375" style="88" customWidth="1"/>
    <col min="1025" max="1025" width="13.109375" style="88" bestFit="1" customWidth="1"/>
    <col min="1026" max="1026" width="8.5546875" style="88" bestFit="1" customWidth="1"/>
    <col min="1027" max="1027" width="48.33203125" style="88" bestFit="1" customWidth="1"/>
    <col min="1028" max="1028" width="30" style="88" bestFit="1" customWidth="1"/>
    <col min="1029" max="1029" width="36.5546875" style="88" bestFit="1" customWidth="1"/>
    <col min="1030" max="1030" width="40.33203125" style="88" bestFit="1" customWidth="1"/>
    <col min="1031" max="1031" width="39.109375" style="88" bestFit="1" customWidth="1"/>
    <col min="1032" max="1032" width="10.88671875" style="88" bestFit="1" customWidth="1"/>
    <col min="1033" max="1033" width="11.6640625" style="88" bestFit="1" customWidth="1"/>
    <col min="1034" max="1034" width="21.44140625" style="88" bestFit="1" customWidth="1"/>
    <col min="1035" max="1035" width="40.33203125" style="88" bestFit="1" customWidth="1"/>
    <col min="1036" max="1036" width="17.6640625" style="88" bestFit="1" customWidth="1"/>
    <col min="1037" max="1280" width="9.109375" style="88" customWidth="1"/>
    <col min="1281" max="1281" width="13.109375" style="88" bestFit="1" customWidth="1"/>
    <col min="1282" max="1282" width="8.5546875" style="88" bestFit="1" customWidth="1"/>
    <col min="1283" max="1283" width="48.33203125" style="88" bestFit="1" customWidth="1"/>
    <col min="1284" max="1284" width="30" style="88" bestFit="1" customWidth="1"/>
    <col min="1285" max="1285" width="36.5546875" style="88" bestFit="1" customWidth="1"/>
    <col min="1286" max="1286" width="40.33203125" style="88" bestFit="1" customWidth="1"/>
    <col min="1287" max="1287" width="39.109375" style="88" bestFit="1" customWidth="1"/>
    <col min="1288" max="1288" width="10.88671875" style="88" bestFit="1" customWidth="1"/>
    <col min="1289" max="1289" width="11.6640625" style="88" bestFit="1" customWidth="1"/>
    <col min="1290" max="1290" width="21.44140625" style="88" bestFit="1" customWidth="1"/>
    <col min="1291" max="1291" width="40.33203125" style="88" bestFit="1" customWidth="1"/>
    <col min="1292" max="1292" width="17.6640625" style="88" bestFit="1" customWidth="1"/>
    <col min="1293" max="1536" width="9.109375" style="88" customWidth="1"/>
    <col min="1537" max="1537" width="13.109375" style="88" bestFit="1" customWidth="1"/>
    <col min="1538" max="1538" width="8.5546875" style="88" bestFit="1" customWidth="1"/>
    <col min="1539" max="1539" width="48.33203125" style="88" bestFit="1" customWidth="1"/>
    <col min="1540" max="1540" width="30" style="88" bestFit="1" customWidth="1"/>
    <col min="1541" max="1541" width="36.5546875" style="88" bestFit="1" customWidth="1"/>
    <col min="1542" max="1542" width="40.33203125" style="88" bestFit="1" customWidth="1"/>
    <col min="1543" max="1543" width="39.109375" style="88" bestFit="1" customWidth="1"/>
    <col min="1544" max="1544" width="10.88671875" style="88" bestFit="1" customWidth="1"/>
    <col min="1545" max="1545" width="11.6640625" style="88" bestFit="1" customWidth="1"/>
    <col min="1546" max="1546" width="21.44140625" style="88" bestFit="1" customWidth="1"/>
    <col min="1547" max="1547" width="40.33203125" style="88" bestFit="1" customWidth="1"/>
    <col min="1548" max="1548" width="17.6640625" style="88" bestFit="1" customWidth="1"/>
    <col min="1549" max="1792" width="9.109375" style="88" customWidth="1"/>
    <col min="1793" max="1793" width="13.109375" style="88" bestFit="1" customWidth="1"/>
    <col min="1794" max="1794" width="8.5546875" style="88" bestFit="1" customWidth="1"/>
    <col min="1795" max="1795" width="48.33203125" style="88" bestFit="1" customWidth="1"/>
    <col min="1796" max="1796" width="30" style="88" bestFit="1" customWidth="1"/>
    <col min="1797" max="1797" width="36.5546875" style="88" bestFit="1" customWidth="1"/>
    <col min="1798" max="1798" width="40.33203125" style="88" bestFit="1" customWidth="1"/>
    <col min="1799" max="1799" width="39.109375" style="88" bestFit="1" customWidth="1"/>
    <col min="1800" max="1800" width="10.88671875" style="88" bestFit="1" customWidth="1"/>
    <col min="1801" max="1801" width="11.6640625" style="88" bestFit="1" customWidth="1"/>
    <col min="1802" max="1802" width="21.44140625" style="88" bestFit="1" customWidth="1"/>
    <col min="1803" max="1803" width="40.33203125" style="88" bestFit="1" customWidth="1"/>
    <col min="1804" max="1804" width="17.6640625" style="88" bestFit="1" customWidth="1"/>
    <col min="1805" max="2048" width="9.109375" style="88" customWidth="1"/>
    <col min="2049" max="2049" width="13.109375" style="88" bestFit="1" customWidth="1"/>
    <col min="2050" max="2050" width="8.5546875" style="88" bestFit="1" customWidth="1"/>
    <col min="2051" max="2051" width="48.33203125" style="88" bestFit="1" customWidth="1"/>
    <col min="2052" max="2052" width="30" style="88" bestFit="1" customWidth="1"/>
    <col min="2053" max="2053" width="36.5546875" style="88" bestFit="1" customWidth="1"/>
    <col min="2054" max="2054" width="40.33203125" style="88" bestFit="1" customWidth="1"/>
    <col min="2055" max="2055" width="39.109375" style="88" bestFit="1" customWidth="1"/>
    <col min="2056" max="2056" width="10.88671875" style="88" bestFit="1" customWidth="1"/>
    <col min="2057" max="2057" width="11.6640625" style="88" bestFit="1" customWidth="1"/>
    <col min="2058" max="2058" width="21.44140625" style="88" bestFit="1" customWidth="1"/>
    <col min="2059" max="2059" width="40.33203125" style="88" bestFit="1" customWidth="1"/>
    <col min="2060" max="2060" width="17.6640625" style="88" bestFit="1" customWidth="1"/>
    <col min="2061" max="2304" width="9.109375" style="88" customWidth="1"/>
    <col min="2305" max="2305" width="13.109375" style="88" bestFit="1" customWidth="1"/>
    <col min="2306" max="2306" width="8.5546875" style="88" bestFit="1" customWidth="1"/>
    <col min="2307" max="2307" width="48.33203125" style="88" bestFit="1" customWidth="1"/>
    <col min="2308" max="2308" width="30" style="88" bestFit="1" customWidth="1"/>
    <col min="2309" max="2309" width="36.5546875" style="88" bestFit="1" customWidth="1"/>
    <col min="2310" max="2310" width="40.33203125" style="88" bestFit="1" customWidth="1"/>
    <col min="2311" max="2311" width="39.109375" style="88" bestFit="1" customWidth="1"/>
    <col min="2312" max="2312" width="10.88671875" style="88" bestFit="1" customWidth="1"/>
    <col min="2313" max="2313" width="11.6640625" style="88" bestFit="1" customWidth="1"/>
    <col min="2314" max="2314" width="21.44140625" style="88" bestFit="1" customWidth="1"/>
    <col min="2315" max="2315" width="40.33203125" style="88" bestFit="1" customWidth="1"/>
    <col min="2316" max="2316" width="17.6640625" style="88" bestFit="1" customWidth="1"/>
    <col min="2317" max="2560" width="9.109375" style="88" customWidth="1"/>
    <col min="2561" max="2561" width="13.109375" style="88" bestFit="1" customWidth="1"/>
    <col min="2562" max="2562" width="8.5546875" style="88" bestFit="1" customWidth="1"/>
    <col min="2563" max="2563" width="48.33203125" style="88" bestFit="1" customWidth="1"/>
    <col min="2564" max="2564" width="30" style="88" bestFit="1" customWidth="1"/>
    <col min="2565" max="2565" width="36.5546875" style="88" bestFit="1" customWidth="1"/>
    <col min="2566" max="2566" width="40.33203125" style="88" bestFit="1" customWidth="1"/>
    <col min="2567" max="2567" width="39.109375" style="88" bestFit="1" customWidth="1"/>
    <col min="2568" max="2568" width="10.88671875" style="88" bestFit="1" customWidth="1"/>
    <col min="2569" max="2569" width="11.6640625" style="88" bestFit="1" customWidth="1"/>
    <col min="2570" max="2570" width="21.44140625" style="88" bestFit="1" customWidth="1"/>
    <col min="2571" max="2571" width="40.33203125" style="88" bestFit="1" customWidth="1"/>
    <col min="2572" max="2572" width="17.6640625" style="88" bestFit="1" customWidth="1"/>
    <col min="2573" max="2816" width="9.109375" style="88" customWidth="1"/>
    <col min="2817" max="2817" width="13.109375" style="88" bestFit="1" customWidth="1"/>
    <col min="2818" max="2818" width="8.5546875" style="88" bestFit="1" customWidth="1"/>
    <col min="2819" max="2819" width="48.33203125" style="88" bestFit="1" customWidth="1"/>
    <col min="2820" max="2820" width="30" style="88" bestFit="1" customWidth="1"/>
    <col min="2821" max="2821" width="36.5546875" style="88" bestFit="1" customWidth="1"/>
    <col min="2822" max="2822" width="40.33203125" style="88" bestFit="1" customWidth="1"/>
    <col min="2823" max="2823" width="39.109375" style="88" bestFit="1" customWidth="1"/>
    <col min="2824" max="2824" width="10.88671875" style="88" bestFit="1" customWidth="1"/>
    <col min="2825" max="2825" width="11.6640625" style="88" bestFit="1" customWidth="1"/>
    <col min="2826" max="2826" width="21.44140625" style="88" bestFit="1" customWidth="1"/>
    <col min="2827" max="2827" width="40.33203125" style="88" bestFit="1" customWidth="1"/>
    <col min="2828" max="2828" width="17.6640625" style="88" bestFit="1" customWidth="1"/>
    <col min="2829" max="3072" width="9.109375" style="88" customWidth="1"/>
    <col min="3073" max="3073" width="13.109375" style="88" bestFit="1" customWidth="1"/>
    <col min="3074" max="3074" width="8.5546875" style="88" bestFit="1" customWidth="1"/>
    <col min="3075" max="3075" width="48.33203125" style="88" bestFit="1" customWidth="1"/>
    <col min="3076" max="3076" width="30" style="88" bestFit="1" customWidth="1"/>
    <col min="3077" max="3077" width="36.5546875" style="88" bestFit="1" customWidth="1"/>
    <col min="3078" max="3078" width="40.33203125" style="88" bestFit="1" customWidth="1"/>
    <col min="3079" max="3079" width="39.109375" style="88" bestFit="1" customWidth="1"/>
    <col min="3080" max="3080" width="10.88671875" style="88" bestFit="1" customWidth="1"/>
    <col min="3081" max="3081" width="11.6640625" style="88" bestFit="1" customWidth="1"/>
    <col min="3082" max="3082" width="21.44140625" style="88" bestFit="1" customWidth="1"/>
    <col min="3083" max="3083" width="40.33203125" style="88" bestFit="1" customWidth="1"/>
    <col min="3084" max="3084" width="17.6640625" style="88" bestFit="1" customWidth="1"/>
    <col min="3085" max="3328" width="9.109375" style="88" customWidth="1"/>
    <col min="3329" max="3329" width="13.109375" style="88" bestFit="1" customWidth="1"/>
    <col min="3330" max="3330" width="8.5546875" style="88" bestFit="1" customWidth="1"/>
    <col min="3331" max="3331" width="48.33203125" style="88" bestFit="1" customWidth="1"/>
    <col min="3332" max="3332" width="30" style="88" bestFit="1" customWidth="1"/>
    <col min="3333" max="3333" width="36.5546875" style="88" bestFit="1" customWidth="1"/>
    <col min="3334" max="3334" width="40.33203125" style="88" bestFit="1" customWidth="1"/>
    <col min="3335" max="3335" width="39.109375" style="88" bestFit="1" customWidth="1"/>
    <col min="3336" max="3336" width="10.88671875" style="88" bestFit="1" customWidth="1"/>
    <col min="3337" max="3337" width="11.6640625" style="88" bestFit="1" customWidth="1"/>
    <col min="3338" max="3338" width="21.44140625" style="88" bestFit="1" customWidth="1"/>
    <col min="3339" max="3339" width="40.33203125" style="88" bestFit="1" customWidth="1"/>
    <col min="3340" max="3340" width="17.6640625" style="88" bestFit="1" customWidth="1"/>
    <col min="3341" max="3584" width="9.109375" style="88" customWidth="1"/>
    <col min="3585" max="3585" width="13.109375" style="88" bestFit="1" customWidth="1"/>
    <col min="3586" max="3586" width="8.5546875" style="88" bestFit="1" customWidth="1"/>
    <col min="3587" max="3587" width="48.33203125" style="88" bestFit="1" customWidth="1"/>
    <col min="3588" max="3588" width="30" style="88" bestFit="1" customWidth="1"/>
    <col min="3589" max="3589" width="36.5546875" style="88" bestFit="1" customWidth="1"/>
    <col min="3590" max="3590" width="40.33203125" style="88" bestFit="1" customWidth="1"/>
    <col min="3591" max="3591" width="39.109375" style="88" bestFit="1" customWidth="1"/>
    <col min="3592" max="3592" width="10.88671875" style="88" bestFit="1" customWidth="1"/>
    <col min="3593" max="3593" width="11.6640625" style="88" bestFit="1" customWidth="1"/>
    <col min="3594" max="3594" width="21.44140625" style="88" bestFit="1" customWidth="1"/>
    <col min="3595" max="3595" width="40.33203125" style="88" bestFit="1" customWidth="1"/>
    <col min="3596" max="3596" width="17.6640625" style="88" bestFit="1" customWidth="1"/>
    <col min="3597" max="3840" width="9.109375" style="88" customWidth="1"/>
    <col min="3841" max="3841" width="13.109375" style="88" bestFit="1" customWidth="1"/>
    <col min="3842" max="3842" width="8.5546875" style="88" bestFit="1" customWidth="1"/>
    <col min="3843" max="3843" width="48.33203125" style="88" bestFit="1" customWidth="1"/>
    <col min="3844" max="3844" width="30" style="88" bestFit="1" customWidth="1"/>
    <col min="3845" max="3845" width="36.5546875" style="88" bestFit="1" customWidth="1"/>
    <col min="3846" max="3846" width="40.33203125" style="88" bestFit="1" customWidth="1"/>
    <col min="3847" max="3847" width="39.109375" style="88" bestFit="1" customWidth="1"/>
    <col min="3848" max="3848" width="10.88671875" style="88" bestFit="1" customWidth="1"/>
    <col min="3849" max="3849" width="11.6640625" style="88" bestFit="1" customWidth="1"/>
    <col min="3850" max="3850" width="21.44140625" style="88" bestFit="1" customWidth="1"/>
    <col min="3851" max="3851" width="40.33203125" style="88" bestFit="1" customWidth="1"/>
    <col min="3852" max="3852" width="17.6640625" style="88" bestFit="1" customWidth="1"/>
    <col min="3853" max="4096" width="9.109375" style="88" customWidth="1"/>
    <col min="4097" max="4097" width="13.109375" style="88" bestFit="1" customWidth="1"/>
    <col min="4098" max="4098" width="8.5546875" style="88" bestFit="1" customWidth="1"/>
    <col min="4099" max="4099" width="48.33203125" style="88" bestFit="1" customWidth="1"/>
    <col min="4100" max="4100" width="30" style="88" bestFit="1" customWidth="1"/>
    <col min="4101" max="4101" width="36.5546875" style="88" bestFit="1" customWidth="1"/>
    <col min="4102" max="4102" width="40.33203125" style="88" bestFit="1" customWidth="1"/>
    <col min="4103" max="4103" width="39.109375" style="88" bestFit="1" customWidth="1"/>
    <col min="4104" max="4104" width="10.88671875" style="88" bestFit="1" customWidth="1"/>
    <col min="4105" max="4105" width="11.6640625" style="88" bestFit="1" customWidth="1"/>
    <col min="4106" max="4106" width="21.44140625" style="88" bestFit="1" customWidth="1"/>
    <col min="4107" max="4107" width="40.33203125" style="88" bestFit="1" customWidth="1"/>
    <col min="4108" max="4108" width="17.6640625" style="88" bestFit="1" customWidth="1"/>
    <col min="4109" max="4352" width="9.109375" style="88" customWidth="1"/>
    <col min="4353" max="4353" width="13.109375" style="88" bestFit="1" customWidth="1"/>
    <col min="4354" max="4354" width="8.5546875" style="88" bestFit="1" customWidth="1"/>
    <col min="4355" max="4355" width="48.33203125" style="88" bestFit="1" customWidth="1"/>
    <col min="4356" max="4356" width="30" style="88" bestFit="1" customWidth="1"/>
    <col min="4357" max="4357" width="36.5546875" style="88" bestFit="1" customWidth="1"/>
    <col min="4358" max="4358" width="40.33203125" style="88" bestFit="1" customWidth="1"/>
    <col min="4359" max="4359" width="39.109375" style="88" bestFit="1" customWidth="1"/>
    <col min="4360" max="4360" width="10.88671875" style="88" bestFit="1" customWidth="1"/>
    <col min="4361" max="4361" width="11.6640625" style="88" bestFit="1" customWidth="1"/>
    <col min="4362" max="4362" width="21.44140625" style="88" bestFit="1" customWidth="1"/>
    <col min="4363" max="4363" width="40.33203125" style="88" bestFit="1" customWidth="1"/>
    <col min="4364" max="4364" width="17.6640625" style="88" bestFit="1" customWidth="1"/>
    <col min="4365" max="4608" width="9.109375" style="88" customWidth="1"/>
    <col min="4609" max="4609" width="13.109375" style="88" bestFit="1" customWidth="1"/>
    <col min="4610" max="4610" width="8.5546875" style="88" bestFit="1" customWidth="1"/>
    <col min="4611" max="4611" width="48.33203125" style="88" bestFit="1" customWidth="1"/>
    <col min="4612" max="4612" width="30" style="88" bestFit="1" customWidth="1"/>
    <col min="4613" max="4613" width="36.5546875" style="88" bestFit="1" customWidth="1"/>
    <col min="4614" max="4614" width="40.33203125" style="88" bestFit="1" customWidth="1"/>
    <col min="4615" max="4615" width="39.109375" style="88" bestFit="1" customWidth="1"/>
    <col min="4616" max="4616" width="10.88671875" style="88" bestFit="1" customWidth="1"/>
    <col min="4617" max="4617" width="11.6640625" style="88" bestFit="1" customWidth="1"/>
    <col min="4618" max="4618" width="21.44140625" style="88" bestFit="1" customWidth="1"/>
    <col min="4619" max="4619" width="40.33203125" style="88" bestFit="1" customWidth="1"/>
    <col min="4620" max="4620" width="17.6640625" style="88" bestFit="1" customWidth="1"/>
    <col min="4621" max="4864" width="9.109375" style="88" customWidth="1"/>
    <col min="4865" max="4865" width="13.109375" style="88" bestFit="1" customWidth="1"/>
    <col min="4866" max="4866" width="8.5546875" style="88" bestFit="1" customWidth="1"/>
    <col min="4867" max="4867" width="48.33203125" style="88" bestFit="1" customWidth="1"/>
    <col min="4868" max="4868" width="30" style="88" bestFit="1" customWidth="1"/>
    <col min="4869" max="4869" width="36.5546875" style="88" bestFit="1" customWidth="1"/>
    <col min="4870" max="4870" width="40.33203125" style="88" bestFit="1" customWidth="1"/>
    <col min="4871" max="4871" width="39.109375" style="88" bestFit="1" customWidth="1"/>
    <col min="4872" max="4872" width="10.88671875" style="88" bestFit="1" customWidth="1"/>
    <col min="4873" max="4873" width="11.6640625" style="88" bestFit="1" customWidth="1"/>
    <col min="4874" max="4874" width="21.44140625" style="88" bestFit="1" customWidth="1"/>
    <col min="4875" max="4875" width="40.33203125" style="88" bestFit="1" customWidth="1"/>
    <col min="4876" max="4876" width="17.6640625" style="88" bestFit="1" customWidth="1"/>
    <col min="4877" max="5120" width="9.109375" style="88" customWidth="1"/>
    <col min="5121" max="5121" width="13.109375" style="88" bestFit="1" customWidth="1"/>
    <col min="5122" max="5122" width="8.5546875" style="88" bestFit="1" customWidth="1"/>
    <col min="5123" max="5123" width="48.33203125" style="88" bestFit="1" customWidth="1"/>
    <col min="5124" max="5124" width="30" style="88" bestFit="1" customWidth="1"/>
    <col min="5125" max="5125" width="36.5546875" style="88" bestFit="1" customWidth="1"/>
    <col min="5126" max="5126" width="40.33203125" style="88" bestFit="1" customWidth="1"/>
    <col min="5127" max="5127" width="39.109375" style="88" bestFit="1" customWidth="1"/>
    <col min="5128" max="5128" width="10.88671875" style="88" bestFit="1" customWidth="1"/>
    <col min="5129" max="5129" width="11.6640625" style="88" bestFit="1" customWidth="1"/>
    <col min="5130" max="5130" width="21.44140625" style="88" bestFit="1" customWidth="1"/>
    <col min="5131" max="5131" width="40.33203125" style="88" bestFit="1" customWidth="1"/>
    <col min="5132" max="5132" width="17.6640625" style="88" bestFit="1" customWidth="1"/>
    <col min="5133" max="5376" width="9.109375" style="88" customWidth="1"/>
    <col min="5377" max="5377" width="13.109375" style="88" bestFit="1" customWidth="1"/>
    <col min="5378" max="5378" width="8.5546875" style="88" bestFit="1" customWidth="1"/>
    <col min="5379" max="5379" width="48.33203125" style="88" bestFit="1" customWidth="1"/>
    <col min="5380" max="5380" width="30" style="88" bestFit="1" customWidth="1"/>
    <col min="5381" max="5381" width="36.5546875" style="88" bestFit="1" customWidth="1"/>
    <col min="5382" max="5382" width="40.33203125" style="88" bestFit="1" customWidth="1"/>
    <col min="5383" max="5383" width="39.109375" style="88" bestFit="1" customWidth="1"/>
    <col min="5384" max="5384" width="10.88671875" style="88" bestFit="1" customWidth="1"/>
    <col min="5385" max="5385" width="11.6640625" style="88" bestFit="1" customWidth="1"/>
    <col min="5386" max="5386" width="21.44140625" style="88" bestFit="1" customWidth="1"/>
    <col min="5387" max="5387" width="40.33203125" style="88" bestFit="1" customWidth="1"/>
    <col min="5388" max="5388" width="17.6640625" style="88" bestFit="1" customWidth="1"/>
    <col min="5389" max="5632" width="9.109375" style="88" customWidth="1"/>
    <col min="5633" max="5633" width="13.109375" style="88" bestFit="1" customWidth="1"/>
    <col min="5634" max="5634" width="8.5546875" style="88" bestFit="1" customWidth="1"/>
    <col min="5635" max="5635" width="48.33203125" style="88" bestFit="1" customWidth="1"/>
    <col min="5636" max="5636" width="30" style="88" bestFit="1" customWidth="1"/>
    <col min="5637" max="5637" width="36.5546875" style="88" bestFit="1" customWidth="1"/>
    <col min="5638" max="5638" width="40.33203125" style="88" bestFit="1" customWidth="1"/>
    <col min="5639" max="5639" width="39.109375" style="88" bestFit="1" customWidth="1"/>
    <col min="5640" max="5640" width="10.88671875" style="88" bestFit="1" customWidth="1"/>
    <col min="5641" max="5641" width="11.6640625" style="88" bestFit="1" customWidth="1"/>
    <col min="5642" max="5642" width="21.44140625" style="88" bestFit="1" customWidth="1"/>
    <col min="5643" max="5643" width="40.33203125" style="88" bestFit="1" customWidth="1"/>
    <col min="5644" max="5644" width="17.6640625" style="88" bestFit="1" customWidth="1"/>
    <col min="5645" max="5888" width="9.109375" style="88" customWidth="1"/>
    <col min="5889" max="5889" width="13.109375" style="88" bestFit="1" customWidth="1"/>
    <col min="5890" max="5890" width="8.5546875" style="88" bestFit="1" customWidth="1"/>
    <col min="5891" max="5891" width="48.33203125" style="88" bestFit="1" customWidth="1"/>
    <col min="5892" max="5892" width="30" style="88" bestFit="1" customWidth="1"/>
    <col min="5893" max="5893" width="36.5546875" style="88" bestFit="1" customWidth="1"/>
    <col min="5894" max="5894" width="40.33203125" style="88" bestFit="1" customWidth="1"/>
    <col min="5895" max="5895" width="39.109375" style="88" bestFit="1" customWidth="1"/>
    <col min="5896" max="5896" width="10.88671875" style="88" bestFit="1" customWidth="1"/>
    <col min="5897" max="5897" width="11.6640625" style="88" bestFit="1" customWidth="1"/>
    <col min="5898" max="5898" width="21.44140625" style="88" bestFit="1" customWidth="1"/>
    <col min="5899" max="5899" width="40.33203125" style="88" bestFit="1" customWidth="1"/>
    <col min="5900" max="5900" width="17.6640625" style="88" bestFit="1" customWidth="1"/>
    <col min="5901" max="6144" width="9.109375" style="88" customWidth="1"/>
    <col min="6145" max="6145" width="13.109375" style="88" bestFit="1" customWidth="1"/>
    <col min="6146" max="6146" width="8.5546875" style="88" bestFit="1" customWidth="1"/>
    <col min="6147" max="6147" width="48.33203125" style="88" bestFit="1" customWidth="1"/>
    <col min="6148" max="6148" width="30" style="88" bestFit="1" customWidth="1"/>
    <col min="6149" max="6149" width="36.5546875" style="88" bestFit="1" customWidth="1"/>
    <col min="6150" max="6150" width="40.33203125" style="88" bestFit="1" customWidth="1"/>
    <col min="6151" max="6151" width="39.109375" style="88" bestFit="1" customWidth="1"/>
    <col min="6152" max="6152" width="10.88671875" style="88" bestFit="1" customWidth="1"/>
    <col min="6153" max="6153" width="11.6640625" style="88" bestFit="1" customWidth="1"/>
    <col min="6154" max="6154" width="21.44140625" style="88" bestFit="1" customWidth="1"/>
    <col min="6155" max="6155" width="40.33203125" style="88" bestFit="1" customWidth="1"/>
    <col min="6156" max="6156" width="17.6640625" style="88" bestFit="1" customWidth="1"/>
    <col min="6157" max="6400" width="9.109375" style="88" customWidth="1"/>
    <col min="6401" max="6401" width="13.109375" style="88" bestFit="1" customWidth="1"/>
    <col min="6402" max="6402" width="8.5546875" style="88" bestFit="1" customWidth="1"/>
    <col min="6403" max="6403" width="48.33203125" style="88" bestFit="1" customWidth="1"/>
    <col min="6404" max="6404" width="30" style="88" bestFit="1" customWidth="1"/>
    <col min="6405" max="6405" width="36.5546875" style="88" bestFit="1" customWidth="1"/>
    <col min="6406" max="6406" width="40.33203125" style="88" bestFit="1" customWidth="1"/>
    <col min="6407" max="6407" width="39.109375" style="88" bestFit="1" customWidth="1"/>
    <col min="6408" max="6408" width="10.88671875" style="88" bestFit="1" customWidth="1"/>
    <col min="6409" max="6409" width="11.6640625" style="88" bestFit="1" customWidth="1"/>
    <col min="6410" max="6410" width="21.44140625" style="88" bestFit="1" customWidth="1"/>
    <col min="6411" max="6411" width="40.33203125" style="88" bestFit="1" customWidth="1"/>
    <col min="6412" max="6412" width="17.6640625" style="88" bestFit="1" customWidth="1"/>
    <col min="6413" max="6656" width="9.109375" style="88" customWidth="1"/>
    <col min="6657" max="6657" width="13.109375" style="88" bestFit="1" customWidth="1"/>
    <col min="6658" max="6658" width="8.5546875" style="88" bestFit="1" customWidth="1"/>
    <col min="6659" max="6659" width="48.33203125" style="88" bestFit="1" customWidth="1"/>
    <col min="6660" max="6660" width="30" style="88" bestFit="1" customWidth="1"/>
    <col min="6661" max="6661" width="36.5546875" style="88" bestFit="1" customWidth="1"/>
    <col min="6662" max="6662" width="40.33203125" style="88" bestFit="1" customWidth="1"/>
    <col min="6663" max="6663" width="39.109375" style="88" bestFit="1" customWidth="1"/>
    <col min="6664" max="6664" width="10.88671875" style="88" bestFit="1" customWidth="1"/>
    <col min="6665" max="6665" width="11.6640625" style="88" bestFit="1" customWidth="1"/>
    <col min="6666" max="6666" width="21.44140625" style="88" bestFit="1" customWidth="1"/>
    <col min="6667" max="6667" width="40.33203125" style="88" bestFit="1" customWidth="1"/>
    <col min="6668" max="6668" width="17.6640625" style="88" bestFit="1" customWidth="1"/>
    <col min="6669" max="6912" width="9.109375" style="88" customWidth="1"/>
    <col min="6913" max="6913" width="13.109375" style="88" bestFit="1" customWidth="1"/>
    <col min="6914" max="6914" width="8.5546875" style="88" bestFit="1" customWidth="1"/>
    <col min="6915" max="6915" width="48.33203125" style="88" bestFit="1" customWidth="1"/>
    <col min="6916" max="6916" width="30" style="88" bestFit="1" customWidth="1"/>
    <col min="6917" max="6917" width="36.5546875" style="88" bestFit="1" customWidth="1"/>
    <col min="6918" max="6918" width="40.33203125" style="88" bestFit="1" customWidth="1"/>
    <col min="6919" max="6919" width="39.109375" style="88" bestFit="1" customWidth="1"/>
    <col min="6920" max="6920" width="10.88671875" style="88" bestFit="1" customWidth="1"/>
    <col min="6921" max="6921" width="11.6640625" style="88" bestFit="1" customWidth="1"/>
    <col min="6922" max="6922" width="21.44140625" style="88" bestFit="1" customWidth="1"/>
    <col min="6923" max="6923" width="40.33203125" style="88" bestFit="1" customWidth="1"/>
    <col min="6924" max="6924" width="17.6640625" style="88" bestFit="1" customWidth="1"/>
    <col min="6925" max="7168" width="9.109375" style="88" customWidth="1"/>
    <col min="7169" max="7169" width="13.109375" style="88" bestFit="1" customWidth="1"/>
    <col min="7170" max="7170" width="8.5546875" style="88" bestFit="1" customWidth="1"/>
    <col min="7171" max="7171" width="48.33203125" style="88" bestFit="1" customWidth="1"/>
    <col min="7172" max="7172" width="30" style="88" bestFit="1" customWidth="1"/>
    <col min="7173" max="7173" width="36.5546875" style="88" bestFit="1" customWidth="1"/>
    <col min="7174" max="7174" width="40.33203125" style="88" bestFit="1" customWidth="1"/>
    <col min="7175" max="7175" width="39.109375" style="88" bestFit="1" customWidth="1"/>
    <col min="7176" max="7176" width="10.88671875" style="88" bestFit="1" customWidth="1"/>
    <col min="7177" max="7177" width="11.6640625" style="88" bestFit="1" customWidth="1"/>
    <col min="7178" max="7178" width="21.44140625" style="88" bestFit="1" customWidth="1"/>
    <col min="7179" max="7179" width="40.33203125" style="88" bestFit="1" customWidth="1"/>
    <col min="7180" max="7180" width="17.6640625" style="88" bestFit="1" customWidth="1"/>
    <col min="7181" max="7424" width="9.109375" style="88" customWidth="1"/>
    <col min="7425" max="7425" width="13.109375" style="88" bestFit="1" customWidth="1"/>
    <col min="7426" max="7426" width="8.5546875" style="88" bestFit="1" customWidth="1"/>
    <col min="7427" max="7427" width="48.33203125" style="88" bestFit="1" customWidth="1"/>
    <col min="7428" max="7428" width="30" style="88" bestFit="1" customWidth="1"/>
    <col min="7429" max="7429" width="36.5546875" style="88" bestFit="1" customWidth="1"/>
    <col min="7430" max="7430" width="40.33203125" style="88" bestFit="1" customWidth="1"/>
    <col min="7431" max="7431" width="39.109375" style="88" bestFit="1" customWidth="1"/>
    <col min="7432" max="7432" width="10.88671875" style="88" bestFit="1" customWidth="1"/>
    <col min="7433" max="7433" width="11.6640625" style="88" bestFit="1" customWidth="1"/>
    <col min="7434" max="7434" width="21.44140625" style="88" bestFit="1" customWidth="1"/>
    <col min="7435" max="7435" width="40.33203125" style="88" bestFit="1" customWidth="1"/>
    <col min="7436" max="7436" width="17.6640625" style="88" bestFit="1" customWidth="1"/>
    <col min="7437" max="7680" width="9.109375" style="88" customWidth="1"/>
    <col min="7681" max="7681" width="13.109375" style="88" bestFit="1" customWidth="1"/>
    <col min="7682" max="7682" width="8.5546875" style="88" bestFit="1" customWidth="1"/>
    <col min="7683" max="7683" width="48.33203125" style="88" bestFit="1" customWidth="1"/>
    <col min="7684" max="7684" width="30" style="88" bestFit="1" customWidth="1"/>
    <col min="7685" max="7685" width="36.5546875" style="88" bestFit="1" customWidth="1"/>
    <col min="7686" max="7686" width="40.33203125" style="88" bestFit="1" customWidth="1"/>
    <col min="7687" max="7687" width="39.109375" style="88" bestFit="1" customWidth="1"/>
    <col min="7688" max="7688" width="10.88671875" style="88" bestFit="1" customWidth="1"/>
    <col min="7689" max="7689" width="11.6640625" style="88" bestFit="1" customWidth="1"/>
    <col min="7690" max="7690" width="21.44140625" style="88" bestFit="1" customWidth="1"/>
    <col min="7691" max="7691" width="40.33203125" style="88" bestFit="1" customWidth="1"/>
    <col min="7692" max="7692" width="17.6640625" style="88" bestFit="1" customWidth="1"/>
    <col min="7693" max="7936" width="9.109375" style="88" customWidth="1"/>
    <col min="7937" max="7937" width="13.109375" style="88" bestFit="1" customWidth="1"/>
    <col min="7938" max="7938" width="8.5546875" style="88" bestFit="1" customWidth="1"/>
    <col min="7939" max="7939" width="48.33203125" style="88" bestFit="1" customWidth="1"/>
    <col min="7940" max="7940" width="30" style="88" bestFit="1" customWidth="1"/>
    <col min="7941" max="7941" width="36.5546875" style="88" bestFit="1" customWidth="1"/>
    <col min="7942" max="7942" width="40.33203125" style="88" bestFit="1" customWidth="1"/>
    <col min="7943" max="7943" width="39.109375" style="88" bestFit="1" customWidth="1"/>
    <col min="7944" max="7944" width="10.88671875" style="88" bestFit="1" customWidth="1"/>
    <col min="7945" max="7945" width="11.6640625" style="88" bestFit="1" customWidth="1"/>
    <col min="7946" max="7946" width="21.44140625" style="88" bestFit="1" customWidth="1"/>
    <col min="7947" max="7947" width="40.33203125" style="88" bestFit="1" customWidth="1"/>
    <col min="7948" max="7948" width="17.6640625" style="88" bestFit="1" customWidth="1"/>
    <col min="7949" max="8192" width="9.109375" style="88" customWidth="1"/>
    <col min="8193" max="8193" width="13.109375" style="88" bestFit="1" customWidth="1"/>
    <col min="8194" max="8194" width="8.5546875" style="88" bestFit="1" customWidth="1"/>
    <col min="8195" max="8195" width="48.33203125" style="88" bestFit="1" customWidth="1"/>
    <col min="8196" max="8196" width="30" style="88" bestFit="1" customWidth="1"/>
    <col min="8197" max="8197" width="36.5546875" style="88" bestFit="1" customWidth="1"/>
    <col min="8198" max="8198" width="40.33203125" style="88" bestFit="1" customWidth="1"/>
    <col min="8199" max="8199" width="39.109375" style="88" bestFit="1" customWidth="1"/>
    <col min="8200" max="8200" width="10.88671875" style="88" bestFit="1" customWidth="1"/>
    <col min="8201" max="8201" width="11.6640625" style="88" bestFit="1" customWidth="1"/>
    <col min="8202" max="8202" width="21.44140625" style="88" bestFit="1" customWidth="1"/>
    <col min="8203" max="8203" width="40.33203125" style="88" bestFit="1" customWidth="1"/>
    <col min="8204" max="8204" width="17.6640625" style="88" bestFit="1" customWidth="1"/>
    <col min="8205" max="8448" width="9.109375" style="88" customWidth="1"/>
    <col min="8449" max="8449" width="13.109375" style="88" bestFit="1" customWidth="1"/>
    <col min="8450" max="8450" width="8.5546875" style="88" bestFit="1" customWidth="1"/>
    <col min="8451" max="8451" width="48.33203125" style="88" bestFit="1" customWidth="1"/>
    <col min="8452" max="8452" width="30" style="88" bestFit="1" customWidth="1"/>
    <col min="8453" max="8453" width="36.5546875" style="88" bestFit="1" customWidth="1"/>
    <col min="8454" max="8454" width="40.33203125" style="88" bestFit="1" customWidth="1"/>
    <col min="8455" max="8455" width="39.109375" style="88" bestFit="1" customWidth="1"/>
    <col min="8456" max="8456" width="10.88671875" style="88" bestFit="1" customWidth="1"/>
    <col min="8457" max="8457" width="11.6640625" style="88" bestFit="1" customWidth="1"/>
    <col min="8458" max="8458" width="21.44140625" style="88" bestFit="1" customWidth="1"/>
    <col min="8459" max="8459" width="40.33203125" style="88" bestFit="1" customWidth="1"/>
    <col min="8460" max="8460" width="17.6640625" style="88" bestFit="1" customWidth="1"/>
    <col min="8461" max="8704" width="9.109375" style="88" customWidth="1"/>
    <col min="8705" max="8705" width="13.109375" style="88" bestFit="1" customWidth="1"/>
    <col min="8706" max="8706" width="8.5546875" style="88" bestFit="1" customWidth="1"/>
    <col min="8707" max="8707" width="48.33203125" style="88" bestFit="1" customWidth="1"/>
    <col min="8708" max="8708" width="30" style="88" bestFit="1" customWidth="1"/>
    <col min="8709" max="8709" width="36.5546875" style="88" bestFit="1" customWidth="1"/>
    <col min="8710" max="8710" width="40.33203125" style="88" bestFit="1" customWidth="1"/>
    <col min="8711" max="8711" width="39.109375" style="88" bestFit="1" customWidth="1"/>
    <col min="8712" max="8712" width="10.88671875" style="88" bestFit="1" customWidth="1"/>
    <col min="8713" max="8713" width="11.6640625" style="88" bestFit="1" customWidth="1"/>
    <col min="8714" max="8714" width="21.44140625" style="88" bestFit="1" customWidth="1"/>
    <col min="8715" max="8715" width="40.33203125" style="88" bestFit="1" customWidth="1"/>
    <col min="8716" max="8716" width="17.6640625" style="88" bestFit="1" customWidth="1"/>
    <col min="8717" max="8960" width="9.109375" style="88" customWidth="1"/>
    <col min="8961" max="8961" width="13.109375" style="88" bestFit="1" customWidth="1"/>
    <col min="8962" max="8962" width="8.5546875" style="88" bestFit="1" customWidth="1"/>
    <col min="8963" max="8963" width="48.33203125" style="88" bestFit="1" customWidth="1"/>
    <col min="8964" max="8964" width="30" style="88" bestFit="1" customWidth="1"/>
    <col min="8965" max="8965" width="36.5546875" style="88" bestFit="1" customWidth="1"/>
    <col min="8966" max="8966" width="40.33203125" style="88" bestFit="1" customWidth="1"/>
    <col min="8967" max="8967" width="39.109375" style="88" bestFit="1" customWidth="1"/>
    <col min="8968" max="8968" width="10.88671875" style="88" bestFit="1" customWidth="1"/>
    <col min="8969" max="8969" width="11.6640625" style="88" bestFit="1" customWidth="1"/>
    <col min="8970" max="8970" width="21.44140625" style="88" bestFit="1" customWidth="1"/>
    <col min="8971" max="8971" width="40.33203125" style="88" bestFit="1" customWidth="1"/>
    <col min="8972" max="8972" width="17.6640625" style="88" bestFit="1" customWidth="1"/>
    <col min="8973" max="9216" width="9.109375" style="88" customWidth="1"/>
    <col min="9217" max="9217" width="13.109375" style="88" bestFit="1" customWidth="1"/>
    <col min="9218" max="9218" width="8.5546875" style="88" bestFit="1" customWidth="1"/>
    <col min="9219" max="9219" width="48.33203125" style="88" bestFit="1" customWidth="1"/>
    <col min="9220" max="9220" width="30" style="88" bestFit="1" customWidth="1"/>
    <col min="9221" max="9221" width="36.5546875" style="88" bestFit="1" customWidth="1"/>
    <col min="9222" max="9222" width="40.33203125" style="88" bestFit="1" customWidth="1"/>
    <col min="9223" max="9223" width="39.109375" style="88" bestFit="1" customWidth="1"/>
    <col min="9224" max="9224" width="10.88671875" style="88" bestFit="1" customWidth="1"/>
    <col min="9225" max="9225" width="11.6640625" style="88" bestFit="1" customWidth="1"/>
    <col min="9226" max="9226" width="21.44140625" style="88" bestFit="1" customWidth="1"/>
    <col min="9227" max="9227" width="40.33203125" style="88" bestFit="1" customWidth="1"/>
    <col min="9228" max="9228" width="17.6640625" style="88" bestFit="1" customWidth="1"/>
    <col min="9229" max="9472" width="9.109375" style="88" customWidth="1"/>
    <col min="9473" max="9473" width="13.109375" style="88" bestFit="1" customWidth="1"/>
    <col min="9474" max="9474" width="8.5546875" style="88" bestFit="1" customWidth="1"/>
    <col min="9475" max="9475" width="48.33203125" style="88" bestFit="1" customWidth="1"/>
    <col min="9476" max="9476" width="30" style="88" bestFit="1" customWidth="1"/>
    <col min="9477" max="9477" width="36.5546875" style="88" bestFit="1" customWidth="1"/>
    <col min="9478" max="9478" width="40.33203125" style="88" bestFit="1" customWidth="1"/>
    <col min="9479" max="9479" width="39.109375" style="88" bestFit="1" customWidth="1"/>
    <col min="9480" max="9480" width="10.88671875" style="88" bestFit="1" customWidth="1"/>
    <col min="9481" max="9481" width="11.6640625" style="88" bestFit="1" customWidth="1"/>
    <col min="9482" max="9482" width="21.44140625" style="88" bestFit="1" customWidth="1"/>
    <col min="9483" max="9483" width="40.33203125" style="88" bestFit="1" customWidth="1"/>
    <col min="9484" max="9484" width="17.6640625" style="88" bestFit="1" customWidth="1"/>
    <col min="9485" max="9728" width="9.109375" style="88" customWidth="1"/>
    <col min="9729" max="9729" width="13.109375" style="88" bestFit="1" customWidth="1"/>
    <col min="9730" max="9730" width="8.5546875" style="88" bestFit="1" customWidth="1"/>
    <col min="9731" max="9731" width="48.33203125" style="88" bestFit="1" customWidth="1"/>
    <col min="9732" max="9732" width="30" style="88" bestFit="1" customWidth="1"/>
    <col min="9733" max="9733" width="36.5546875" style="88" bestFit="1" customWidth="1"/>
    <col min="9734" max="9734" width="40.33203125" style="88" bestFit="1" customWidth="1"/>
    <col min="9735" max="9735" width="39.109375" style="88" bestFit="1" customWidth="1"/>
    <col min="9736" max="9736" width="10.88671875" style="88" bestFit="1" customWidth="1"/>
    <col min="9737" max="9737" width="11.6640625" style="88" bestFit="1" customWidth="1"/>
    <col min="9738" max="9738" width="21.44140625" style="88" bestFit="1" customWidth="1"/>
    <col min="9739" max="9739" width="40.33203125" style="88" bestFit="1" customWidth="1"/>
    <col min="9740" max="9740" width="17.6640625" style="88" bestFit="1" customWidth="1"/>
    <col min="9741" max="9984" width="9.109375" style="88" customWidth="1"/>
    <col min="9985" max="9985" width="13.109375" style="88" bestFit="1" customWidth="1"/>
    <col min="9986" max="9986" width="8.5546875" style="88" bestFit="1" customWidth="1"/>
    <col min="9987" max="9987" width="48.33203125" style="88" bestFit="1" customWidth="1"/>
    <col min="9988" max="9988" width="30" style="88" bestFit="1" customWidth="1"/>
    <col min="9989" max="9989" width="36.5546875" style="88" bestFit="1" customWidth="1"/>
    <col min="9990" max="9990" width="40.33203125" style="88" bestFit="1" customWidth="1"/>
    <col min="9991" max="9991" width="39.109375" style="88" bestFit="1" customWidth="1"/>
    <col min="9992" max="9992" width="10.88671875" style="88" bestFit="1" customWidth="1"/>
    <col min="9993" max="9993" width="11.6640625" style="88" bestFit="1" customWidth="1"/>
    <col min="9994" max="9994" width="21.44140625" style="88" bestFit="1" customWidth="1"/>
    <col min="9995" max="9995" width="40.33203125" style="88" bestFit="1" customWidth="1"/>
    <col min="9996" max="9996" width="17.6640625" style="88" bestFit="1" customWidth="1"/>
    <col min="9997" max="10240" width="9.109375" style="88" customWidth="1"/>
    <col min="10241" max="10241" width="13.109375" style="88" bestFit="1" customWidth="1"/>
    <col min="10242" max="10242" width="8.5546875" style="88" bestFit="1" customWidth="1"/>
    <col min="10243" max="10243" width="48.33203125" style="88" bestFit="1" customWidth="1"/>
    <col min="10244" max="10244" width="30" style="88" bestFit="1" customWidth="1"/>
    <col min="10245" max="10245" width="36.5546875" style="88" bestFit="1" customWidth="1"/>
    <col min="10246" max="10246" width="40.33203125" style="88" bestFit="1" customWidth="1"/>
    <col min="10247" max="10247" width="39.109375" style="88" bestFit="1" customWidth="1"/>
    <col min="10248" max="10248" width="10.88671875" style="88" bestFit="1" customWidth="1"/>
    <col min="10249" max="10249" width="11.6640625" style="88" bestFit="1" customWidth="1"/>
    <col min="10250" max="10250" width="21.44140625" style="88" bestFit="1" customWidth="1"/>
    <col min="10251" max="10251" width="40.33203125" style="88" bestFit="1" customWidth="1"/>
    <col min="10252" max="10252" width="17.6640625" style="88" bestFit="1" customWidth="1"/>
    <col min="10253" max="10496" width="9.109375" style="88" customWidth="1"/>
    <col min="10497" max="10497" width="13.109375" style="88" bestFit="1" customWidth="1"/>
    <col min="10498" max="10498" width="8.5546875" style="88" bestFit="1" customWidth="1"/>
    <col min="10499" max="10499" width="48.33203125" style="88" bestFit="1" customWidth="1"/>
    <col min="10500" max="10500" width="30" style="88" bestFit="1" customWidth="1"/>
    <col min="10501" max="10501" width="36.5546875" style="88" bestFit="1" customWidth="1"/>
    <col min="10502" max="10502" width="40.33203125" style="88" bestFit="1" customWidth="1"/>
    <col min="10503" max="10503" width="39.109375" style="88" bestFit="1" customWidth="1"/>
    <col min="10504" max="10504" width="10.88671875" style="88" bestFit="1" customWidth="1"/>
    <col min="10505" max="10505" width="11.6640625" style="88" bestFit="1" customWidth="1"/>
    <col min="10506" max="10506" width="21.44140625" style="88" bestFit="1" customWidth="1"/>
    <col min="10507" max="10507" width="40.33203125" style="88" bestFit="1" customWidth="1"/>
    <col min="10508" max="10508" width="17.6640625" style="88" bestFit="1" customWidth="1"/>
    <col min="10509" max="10752" width="9.109375" style="88" customWidth="1"/>
    <col min="10753" max="10753" width="13.109375" style="88" bestFit="1" customWidth="1"/>
    <col min="10754" max="10754" width="8.5546875" style="88" bestFit="1" customWidth="1"/>
    <col min="10755" max="10755" width="48.33203125" style="88" bestFit="1" customWidth="1"/>
    <col min="10756" max="10756" width="30" style="88" bestFit="1" customWidth="1"/>
    <col min="10757" max="10757" width="36.5546875" style="88" bestFit="1" customWidth="1"/>
    <col min="10758" max="10758" width="40.33203125" style="88" bestFit="1" customWidth="1"/>
    <col min="10759" max="10759" width="39.109375" style="88" bestFit="1" customWidth="1"/>
    <col min="10760" max="10760" width="10.88671875" style="88" bestFit="1" customWidth="1"/>
    <col min="10761" max="10761" width="11.6640625" style="88" bestFit="1" customWidth="1"/>
    <col min="10762" max="10762" width="21.44140625" style="88" bestFit="1" customWidth="1"/>
    <col min="10763" max="10763" width="40.33203125" style="88" bestFit="1" customWidth="1"/>
    <col min="10764" max="10764" width="17.6640625" style="88" bestFit="1" customWidth="1"/>
    <col min="10765" max="11008" width="9.109375" style="88" customWidth="1"/>
    <col min="11009" max="11009" width="13.109375" style="88" bestFit="1" customWidth="1"/>
    <col min="11010" max="11010" width="8.5546875" style="88" bestFit="1" customWidth="1"/>
    <col min="11011" max="11011" width="48.33203125" style="88" bestFit="1" customWidth="1"/>
    <col min="11012" max="11012" width="30" style="88" bestFit="1" customWidth="1"/>
    <col min="11013" max="11013" width="36.5546875" style="88" bestFit="1" customWidth="1"/>
    <col min="11014" max="11014" width="40.33203125" style="88" bestFit="1" customWidth="1"/>
    <col min="11015" max="11015" width="39.109375" style="88" bestFit="1" customWidth="1"/>
    <col min="11016" max="11016" width="10.88671875" style="88" bestFit="1" customWidth="1"/>
    <col min="11017" max="11017" width="11.6640625" style="88" bestFit="1" customWidth="1"/>
    <col min="11018" max="11018" width="21.44140625" style="88" bestFit="1" customWidth="1"/>
    <col min="11019" max="11019" width="40.33203125" style="88" bestFit="1" customWidth="1"/>
    <col min="11020" max="11020" width="17.6640625" style="88" bestFit="1" customWidth="1"/>
    <col min="11021" max="11264" width="9.109375" style="88" customWidth="1"/>
    <col min="11265" max="11265" width="13.109375" style="88" bestFit="1" customWidth="1"/>
    <col min="11266" max="11266" width="8.5546875" style="88" bestFit="1" customWidth="1"/>
    <col min="11267" max="11267" width="48.33203125" style="88" bestFit="1" customWidth="1"/>
    <col min="11268" max="11268" width="30" style="88" bestFit="1" customWidth="1"/>
    <col min="11269" max="11269" width="36.5546875" style="88" bestFit="1" customWidth="1"/>
    <col min="11270" max="11270" width="40.33203125" style="88" bestFit="1" customWidth="1"/>
    <col min="11271" max="11271" width="39.109375" style="88" bestFit="1" customWidth="1"/>
    <col min="11272" max="11272" width="10.88671875" style="88" bestFit="1" customWidth="1"/>
    <col min="11273" max="11273" width="11.6640625" style="88" bestFit="1" customWidth="1"/>
    <col min="11274" max="11274" width="21.44140625" style="88" bestFit="1" customWidth="1"/>
    <col min="11275" max="11275" width="40.33203125" style="88" bestFit="1" customWidth="1"/>
    <col min="11276" max="11276" width="17.6640625" style="88" bestFit="1" customWidth="1"/>
    <col min="11277" max="11520" width="9.109375" style="88" customWidth="1"/>
    <col min="11521" max="11521" width="13.109375" style="88" bestFit="1" customWidth="1"/>
    <col min="11522" max="11522" width="8.5546875" style="88" bestFit="1" customWidth="1"/>
    <col min="11523" max="11523" width="48.33203125" style="88" bestFit="1" customWidth="1"/>
    <col min="11524" max="11524" width="30" style="88" bestFit="1" customWidth="1"/>
    <col min="11525" max="11525" width="36.5546875" style="88" bestFit="1" customWidth="1"/>
    <col min="11526" max="11526" width="40.33203125" style="88" bestFit="1" customWidth="1"/>
    <col min="11527" max="11527" width="39.109375" style="88" bestFit="1" customWidth="1"/>
    <col min="11528" max="11528" width="10.88671875" style="88" bestFit="1" customWidth="1"/>
    <col min="11529" max="11529" width="11.6640625" style="88" bestFit="1" customWidth="1"/>
    <col min="11530" max="11530" width="21.44140625" style="88" bestFit="1" customWidth="1"/>
    <col min="11531" max="11531" width="40.33203125" style="88" bestFit="1" customWidth="1"/>
    <col min="11532" max="11532" width="17.6640625" style="88" bestFit="1" customWidth="1"/>
    <col min="11533" max="11776" width="9.109375" style="88" customWidth="1"/>
    <col min="11777" max="11777" width="13.109375" style="88" bestFit="1" customWidth="1"/>
    <col min="11778" max="11778" width="8.5546875" style="88" bestFit="1" customWidth="1"/>
    <col min="11779" max="11779" width="48.33203125" style="88" bestFit="1" customWidth="1"/>
    <col min="11780" max="11780" width="30" style="88" bestFit="1" customWidth="1"/>
    <col min="11781" max="11781" width="36.5546875" style="88" bestFit="1" customWidth="1"/>
    <col min="11782" max="11782" width="40.33203125" style="88" bestFit="1" customWidth="1"/>
    <col min="11783" max="11783" width="39.109375" style="88" bestFit="1" customWidth="1"/>
    <col min="11784" max="11784" width="10.88671875" style="88" bestFit="1" customWidth="1"/>
    <col min="11785" max="11785" width="11.6640625" style="88" bestFit="1" customWidth="1"/>
    <col min="11786" max="11786" width="21.44140625" style="88" bestFit="1" customWidth="1"/>
    <col min="11787" max="11787" width="40.33203125" style="88" bestFit="1" customWidth="1"/>
    <col min="11788" max="11788" width="17.6640625" style="88" bestFit="1" customWidth="1"/>
    <col min="11789" max="12032" width="9.109375" style="88" customWidth="1"/>
    <col min="12033" max="12033" width="13.109375" style="88" bestFit="1" customWidth="1"/>
    <col min="12034" max="12034" width="8.5546875" style="88" bestFit="1" customWidth="1"/>
    <col min="12035" max="12035" width="48.33203125" style="88" bestFit="1" customWidth="1"/>
    <col min="12036" max="12036" width="30" style="88" bestFit="1" customWidth="1"/>
    <col min="12037" max="12037" width="36.5546875" style="88" bestFit="1" customWidth="1"/>
    <col min="12038" max="12038" width="40.33203125" style="88" bestFit="1" customWidth="1"/>
    <col min="12039" max="12039" width="39.109375" style="88" bestFit="1" customWidth="1"/>
    <col min="12040" max="12040" width="10.88671875" style="88" bestFit="1" customWidth="1"/>
    <col min="12041" max="12041" width="11.6640625" style="88" bestFit="1" customWidth="1"/>
    <col min="12042" max="12042" width="21.44140625" style="88" bestFit="1" customWidth="1"/>
    <col min="12043" max="12043" width="40.33203125" style="88" bestFit="1" customWidth="1"/>
    <col min="12044" max="12044" width="17.6640625" style="88" bestFit="1" customWidth="1"/>
    <col min="12045" max="12288" width="9.109375" style="88" customWidth="1"/>
    <col min="12289" max="12289" width="13.109375" style="88" bestFit="1" customWidth="1"/>
    <col min="12290" max="12290" width="8.5546875" style="88" bestFit="1" customWidth="1"/>
    <col min="12291" max="12291" width="48.33203125" style="88" bestFit="1" customWidth="1"/>
    <col min="12292" max="12292" width="30" style="88" bestFit="1" customWidth="1"/>
    <col min="12293" max="12293" width="36.5546875" style="88" bestFit="1" customWidth="1"/>
    <col min="12294" max="12294" width="40.33203125" style="88" bestFit="1" customWidth="1"/>
    <col min="12295" max="12295" width="39.109375" style="88" bestFit="1" customWidth="1"/>
    <col min="12296" max="12296" width="10.88671875" style="88" bestFit="1" customWidth="1"/>
    <col min="12297" max="12297" width="11.6640625" style="88" bestFit="1" customWidth="1"/>
    <col min="12298" max="12298" width="21.44140625" style="88" bestFit="1" customWidth="1"/>
    <col min="12299" max="12299" width="40.33203125" style="88" bestFit="1" customWidth="1"/>
    <col min="12300" max="12300" width="17.6640625" style="88" bestFit="1" customWidth="1"/>
    <col min="12301" max="12544" width="9.109375" style="88" customWidth="1"/>
    <col min="12545" max="12545" width="13.109375" style="88" bestFit="1" customWidth="1"/>
    <col min="12546" max="12546" width="8.5546875" style="88" bestFit="1" customWidth="1"/>
    <col min="12547" max="12547" width="48.33203125" style="88" bestFit="1" customWidth="1"/>
    <col min="12548" max="12548" width="30" style="88" bestFit="1" customWidth="1"/>
    <col min="12549" max="12549" width="36.5546875" style="88" bestFit="1" customWidth="1"/>
    <col min="12550" max="12550" width="40.33203125" style="88" bestFit="1" customWidth="1"/>
    <col min="12551" max="12551" width="39.109375" style="88" bestFit="1" customWidth="1"/>
    <col min="12552" max="12552" width="10.88671875" style="88" bestFit="1" customWidth="1"/>
    <col min="12553" max="12553" width="11.6640625" style="88" bestFit="1" customWidth="1"/>
    <col min="12554" max="12554" width="21.44140625" style="88" bestFit="1" customWidth="1"/>
    <col min="12555" max="12555" width="40.33203125" style="88" bestFit="1" customWidth="1"/>
    <col min="12556" max="12556" width="17.6640625" style="88" bestFit="1" customWidth="1"/>
    <col min="12557" max="12800" width="9.109375" style="88" customWidth="1"/>
    <col min="12801" max="12801" width="13.109375" style="88" bestFit="1" customWidth="1"/>
    <col min="12802" max="12802" width="8.5546875" style="88" bestFit="1" customWidth="1"/>
    <col min="12803" max="12803" width="48.33203125" style="88" bestFit="1" customWidth="1"/>
    <col min="12804" max="12804" width="30" style="88" bestFit="1" customWidth="1"/>
    <col min="12805" max="12805" width="36.5546875" style="88" bestFit="1" customWidth="1"/>
    <col min="12806" max="12806" width="40.33203125" style="88" bestFit="1" customWidth="1"/>
    <col min="12807" max="12807" width="39.109375" style="88" bestFit="1" customWidth="1"/>
    <col min="12808" max="12808" width="10.88671875" style="88" bestFit="1" customWidth="1"/>
    <col min="12809" max="12809" width="11.6640625" style="88" bestFit="1" customWidth="1"/>
    <col min="12810" max="12810" width="21.44140625" style="88" bestFit="1" customWidth="1"/>
    <col min="12811" max="12811" width="40.33203125" style="88" bestFit="1" customWidth="1"/>
    <col min="12812" max="12812" width="17.6640625" style="88" bestFit="1" customWidth="1"/>
    <col min="12813" max="13056" width="9.109375" style="88" customWidth="1"/>
    <col min="13057" max="13057" width="13.109375" style="88" bestFit="1" customWidth="1"/>
    <col min="13058" max="13058" width="8.5546875" style="88" bestFit="1" customWidth="1"/>
    <col min="13059" max="13059" width="48.33203125" style="88" bestFit="1" customWidth="1"/>
    <col min="13060" max="13060" width="30" style="88" bestFit="1" customWidth="1"/>
    <col min="13061" max="13061" width="36.5546875" style="88" bestFit="1" customWidth="1"/>
    <col min="13062" max="13062" width="40.33203125" style="88" bestFit="1" customWidth="1"/>
    <col min="13063" max="13063" width="39.109375" style="88" bestFit="1" customWidth="1"/>
    <col min="13064" max="13064" width="10.88671875" style="88" bestFit="1" customWidth="1"/>
    <col min="13065" max="13065" width="11.6640625" style="88" bestFit="1" customWidth="1"/>
    <col min="13066" max="13066" width="21.44140625" style="88" bestFit="1" customWidth="1"/>
    <col min="13067" max="13067" width="40.33203125" style="88" bestFit="1" customWidth="1"/>
    <col min="13068" max="13068" width="17.6640625" style="88" bestFit="1" customWidth="1"/>
    <col min="13069" max="13312" width="9.109375" style="88" customWidth="1"/>
    <col min="13313" max="13313" width="13.109375" style="88" bestFit="1" customWidth="1"/>
    <col min="13314" max="13314" width="8.5546875" style="88" bestFit="1" customWidth="1"/>
    <col min="13315" max="13315" width="48.33203125" style="88" bestFit="1" customWidth="1"/>
    <col min="13316" max="13316" width="30" style="88" bestFit="1" customWidth="1"/>
    <col min="13317" max="13317" width="36.5546875" style="88" bestFit="1" customWidth="1"/>
    <col min="13318" max="13318" width="40.33203125" style="88" bestFit="1" customWidth="1"/>
    <col min="13319" max="13319" width="39.109375" style="88" bestFit="1" customWidth="1"/>
    <col min="13320" max="13320" width="10.88671875" style="88" bestFit="1" customWidth="1"/>
    <col min="13321" max="13321" width="11.6640625" style="88" bestFit="1" customWidth="1"/>
    <col min="13322" max="13322" width="21.44140625" style="88" bestFit="1" customWidth="1"/>
    <col min="13323" max="13323" width="40.33203125" style="88" bestFit="1" customWidth="1"/>
    <col min="13324" max="13324" width="17.6640625" style="88" bestFit="1" customWidth="1"/>
    <col min="13325" max="13568" width="9.109375" style="88" customWidth="1"/>
    <col min="13569" max="13569" width="13.109375" style="88" bestFit="1" customWidth="1"/>
    <col min="13570" max="13570" width="8.5546875" style="88" bestFit="1" customWidth="1"/>
    <col min="13571" max="13571" width="48.33203125" style="88" bestFit="1" customWidth="1"/>
    <col min="13572" max="13572" width="30" style="88" bestFit="1" customWidth="1"/>
    <col min="13573" max="13573" width="36.5546875" style="88" bestFit="1" customWidth="1"/>
    <col min="13574" max="13574" width="40.33203125" style="88" bestFit="1" customWidth="1"/>
    <col min="13575" max="13575" width="39.109375" style="88" bestFit="1" customWidth="1"/>
    <col min="13576" max="13576" width="10.88671875" style="88" bestFit="1" customWidth="1"/>
    <col min="13577" max="13577" width="11.6640625" style="88" bestFit="1" customWidth="1"/>
    <col min="13578" max="13578" width="21.44140625" style="88" bestFit="1" customWidth="1"/>
    <col min="13579" max="13579" width="40.33203125" style="88" bestFit="1" customWidth="1"/>
    <col min="13580" max="13580" width="17.6640625" style="88" bestFit="1" customWidth="1"/>
    <col min="13581" max="13824" width="9.109375" style="88" customWidth="1"/>
    <col min="13825" max="13825" width="13.109375" style="88" bestFit="1" customWidth="1"/>
    <col min="13826" max="13826" width="8.5546875" style="88" bestFit="1" customWidth="1"/>
    <col min="13827" max="13827" width="48.33203125" style="88" bestFit="1" customWidth="1"/>
    <col min="13828" max="13828" width="30" style="88" bestFit="1" customWidth="1"/>
    <col min="13829" max="13829" width="36.5546875" style="88" bestFit="1" customWidth="1"/>
    <col min="13830" max="13830" width="40.33203125" style="88" bestFit="1" customWidth="1"/>
    <col min="13831" max="13831" width="39.109375" style="88" bestFit="1" customWidth="1"/>
    <col min="13832" max="13832" width="10.88671875" style="88" bestFit="1" customWidth="1"/>
    <col min="13833" max="13833" width="11.6640625" style="88" bestFit="1" customWidth="1"/>
    <col min="13834" max="13834" width="21.44140625" style="88" bestFit="1" customWidth="1"/>
    <col min="13835" max="13835" width="40.33203125" style="88" bestFit="1" customWidth="1"/>
    <col min="13836" max="13836" width="17.6640625" style="88" bestFit="1" customWidth="1"/>
    <col min="13837" max="14080" width="9.109375" style="88" customWidth="1"/>
    <col min="14081" max="14081" width="13.109375" style="88" bestFit="1" customWidth="1"/>
    <col min="14082" max="14082" width="8.5546875" style="88" bestFit="1" customWidth="1"/>
    <col min="14083" max="14083" width="48.33203125" style="88" bestFit="1" customWidth="1"/>
    <col min="14084" max="14084" width="30" style="88" bestFit="1" customWidth="1"/>
    <col min="14085" max="14085" width="36.5546875" style="88" bestFit="1" customWidth="1"/>
    <col min="14086" max="14086" width="40.33203125" style="88" bestFit="1" customWidth="1"/>
    <col min="14087" max="14087" width="39.109375" style="88" bestFit="1" customWidth="1"/>
    <col min="14088" max="14088" width="10.88671875" style="88" bestFit="1" customWidth="1"/>
    <col min="14089" max="14089" width="11.6640625" style="88" bestFit="1" customWidth="1"/>
    <col min="14090" max="14090" width="21.44140625" style="88" bestFit="1" customWidth="1"/>
    <col min="14091" max="14091" width="40.33203125" style="88" bestFit="1" customWidth="1"/>
    <col min="14092" max="14092" width="17.6640625" style="88" bestFit="1" customWidth="1"/>
    <col min="14093" max="14336" width="9.109375" style="88" customWidth="1"/>
    <col min="14337" max="14337" width="13.109375" style="88" bestFit="1" customWidth="1"/>
    <col min="14338" max="14338" width="8.5546875" style="88" bestFit="1" customWidth="1"/>
    <col min="14339" max="14339" width="48.33203125" style="88" bestFit="1" customWidth="1"/>
    <col min="14340" max="14340" width="30" style="88" bestFit="1" customWidth="1"/>
    <col min="14341" max="14341" width="36.5546875" style="88" bestFit="1" customWidth="1"/>
    <col min="14342" max="14342" width="40.33203125" style="88" bestFit="1" customWidth="1"/>
    <col min="14343" max="14343" width="39.109375" style="88" bestFit="1" customWidth="1"/>
    <col min="14344" max="14344" width="10.88671875" style="88" bestFit="1" customWidth="1"/>
    <col min="14345" max="14345" width="11.6640625" style="88" bestFit="1" customWidth="1"/>
    <col min="14346" max="14346" width="21.44140625" style="88" bestFit="1" customWidth="1"/>
    <col min="14347" max="14347" width="40.33203125" style="88" bestFit="1" customWidth="1"/>
    <col min="14348" max="14348" width="17.6640625" style="88" bestFit="1" customWidth="1"/>
    <col min="14349" max="14592" width="9.109375" style="88" customWidth="1"/>
    <col min="14593" max="14593" width="13.109375" style="88" bestFit="1" customWidth="1"/>
    <col min="14594" max="14594" width="8.5546875" style="88" bestFit="1" customWidth="1"/>
    <col min="14595" max="14595" width="48.33203125" style="88" bestFit="1" customWidth="1"/>
    <col min="14596" max="14596" width="30" style="88" bestFit="1" customWidth="1"/>
    <col min="14597" max="14597" width="36.5546875" style="88" bestFit="1" customWidth="1"/>
    <col min="14598" max="14598" width="40.33203125" style="88" bestFit="1" customWidth="1"/>
    <col min="14599" max="14599" width="39.109375" style="88" bestFit="1" customWidth="1"/>
    <col min="14600" max="14600" width="10.88671875" style="88" bestFit="1" customWidth="1"/>
    <col min="14601" max="14601" width="11.6640625" style="88" bestFit="1" customWidth="1"/>
    <col min="14602" max="14602" width="21.44140625" style="88" bestFit="1" customWidth="1"/>
    <col min="14603" max="14603" width="40.33203125" style="88" bestFit="1" customWidth="1"/>
    <col min="14604" max="14604" width="17.6640625" style="88" bestFit="1" customWidth="1"/>
    <col min="14605" max="14848" width="9.109375" style="88" customWidth="1"/>
    <col min="14849" max="14849" width="13.109375" style="88" bestFit="1" customWidth="1"/>
    <col min="14850" max="14850" width="8.5546875" style="88" bestFit="1" customWidth="1"/>
    <col min="14851" max="14851" width="48.33203125" style="88" bestFit="1" customWidth="1"/>
    <col min="14852" max="14852" width="30" style="88" bestFit="1" customWidth="1"/>
    <col min="14853" max="14853" width="36.5546875" style="88" bestFit="1" customWidth="1"/>
    <col min="14854" max="14854" width="40.33203125" style="88" bestFit="1" customWidth="1"/>
    <col min="14855" max="14855" width="39.109375" style="88" bestFit="1" customWidth="1"/>
    <col min="14856" max="14856" width="10.88671875" style="88" bestFit="1" customWidth="1"/>
    <col min="14857" max="14857" width="11.6640625" style="88" bestFit="1" customWidth="1"/>
    <col min="14858" max="14858" width="21.44140625" style="88" bestFit="1" customWidth="1"/>
    <col min="14859" max="14859" width="40.33203125" style="88" bestFit="1" customWidth="1"/>
    <col min="14860" max="14860" width="17.6640625" style="88" bestFit="1" customWidth="1"/>
    <col min="14861" max="15104" width="9.109375" style="88" customWidth="1"/>
    <col min="15105" max="15105" width="13.109375" style="88" bestFit="1" customWidth="1"/>
    <col min="15106" max="15106" width="8.5546875" style="88" bestFit="1" customWidth="1"/>
    <col min="15107" max="15107" width="48.33203125" style="88" bestFit="1" customWidth="1"/>
    <col min="15108" max="15108" width="30" style="88" bestFit="1" customWidth="1"/>
    <col min="15109" max="15109" width="36.5546875" style="88" bestFit="1" customWidth="1"/>
    <col min="15110" max="15110" width="40.33203125" style="88" bestFit="1" customWidth="1"/>
    <col min="15111" max="15111" width="39.109375" style="88" bestFit="1" customWidth="1"/>
    <col min="15112" max="15112" width="10.88671875" style="88" bestFit="1" customWidth="1"/>
    <col min="15113" max="15113" width="11.6640625" style="88" bestFit="1" customWidth="1"/>
    <col min="15114" max="15114" width="21.44140625" style="88" bestFit="1" customWidth="1"/>
    <col min="15115" max="15115" width="40.33203125" style="88" bestFit="1" customWidth="1"/>
    <col min="15116" max="15116" width="17.6640625" style="88" bestFit="1" customWidth="1"/>
    <col min="15117" max="15360" width="9.109375" style="88" customWidth="1"/>
    <col min="15361" max="15361" width="13.109375" style="88" bestFit="1" customWidth="1"/>
    <col min="15362" max="15362" width="8.5546875" style="88" bestFit="1" customWidth="1"/>
    <col min="15363" max="15363" width="48.33203125" style="88" bestFit="1" customWidth="1"/>
    <col min="15364" max="15364" width="30" style="88" bestFit="1" customWidth="1"/>
    <col min="15365" max="15365" width="36.5546875" style="88" bestFit="1" customWidth="1"/>
    <col min="15366" max="15366" width="40.33203125" style="88" bestFit="1" customWidth="1"/>
    <col min="15367" max="15367" width="39.109375" style="88" bestFit="1" customWidth="1"/>
    <col min="15368" max="15368" width="10.88671875" style="88" bestFit="1" customWidth="1"/>
    <col min="15369" max="15369" width="11.6640625" style="88" bestFit="1" customWidth="1"/>
    <col min="15370" max="15370" width="21.44140625" style="88" bestFit="1" customWidth="1"/>
    <col min="15371" max="15371" width="40.33203125" style="88" bestFit="1" customWidth="1"/>
    <col min="15372" max="15372" width="17.6640625" style="88" bestFit="1" customWidth="1"/>
    <col min="15373" max="15616" width="9.109375" style="88" customWidth="1"/>
    <col min="15617" max="15617" width="13.109375" style="88" bestFit="1" customWidth="1"/>
    <col min="15618" max="15618" width="8.5546875" style="88" bestFit="1" customWidth="1"/>
    <col min="15619" max="15619" width="48.33203125" style="88" bestFit="1" customWidth="1"/>
    <col min="15620" max="15620" width="30" style="88" bestFit="1" customWidth="1"/>
    <col min="15621" max="15621" width="36.5546875" style="88" bestFit="1" customWidth="1"/>
    <col min="15622" max="15622" width="40.33203125" style="88" bestFit="1" customWidth="1"/>
    <col min="15623" max="15623" width="39.109375" style="88" bestFit="1" customWidth="1"/>
    <col min="15624" max="15624" width="10.88671875" style="88" bestFit="1" customWidth="1"/>
    <col min="15625" max="15625" width="11.6640625" style="88" bestFit="1" customWidth="1"/>
    <col min="15626" max="15626" width="21.44140625" style="88" bestFit="1" customWidth="1"/>
    <col min="15627" max="15627" width="40.33203125" style="88" bestFit="1" customWidth="1"/>
    <col min="15628" max="15628" width="17.6640625" style="88" bestFit="1" customWidth="1"/>
    <col min="15629" max="15872" width="9.109375" style="88" customWidth="1"/>
    <col min="15873" max="15873" width="13.109375" style="88" bestFit="1" customWidth="1"/>
    <col min="15874" max="15874" width="8.5546875" style="88" bestFit="1" customWidth="1"/>
    <col min="15875" max="15875" width="48.33203125" style="88" bestFit="1" customWidth="1"/>
    <col min="15876" max="15876" width="30" style="88" bestFit="1" customWidth="1"/>
    <col min="15877" max="15877" width="36.5546875" style="88" bestFit="1" customWidth="1"/>
    <col min="15878" max="15878" width="40.33203125" style="88" bestFit="1" customWidth="1"/>
    <col min="15879" max="15879" width="39.109375" style="88" bestFit="1" customWidth="1"/>
    <col min="15880" max="15880" width="10.88671875" style="88" bestFit="1" customWidth="1"/>
    <col min="15881" max="15881" width="11.6640625" style="88" bestFit="1" customWidth="1"/>
    <col min="15882" max="15882" width="21.44140625" style="88" bestFit="1" customWidth="1"/>
    <col min="15883" max="15883" width="40.33203125" style="88" bestFit="1" customWidth="1"/>
    <col min="15884" max="15884" width="17.6640625" style="88" bestFit="1" customWidth="1"/>
    <col min="15885" max="16128" width="9.109375" style="88" customWidth="1"/>
    <col min="16129" max="16129" width="13.109375" style="88" bestFit="1" customWidth="1"/>
    <col min="16130" max="16130" width="8.5546875" style="88" bestFit="1" customWidth="1"/>
    <col min="16131" max="16131" width="48.33203125" style="88" bestFit="1" customWidth="1"/>
    <col min="16132" max="16132" width="30" style="88" bestFit="1" customWidth="1"/>
    <col min="16133" max="16133" width="36.5546875" style="88" bestFit="1" customWidth="1"/>
    <col min="16134" max="16134" width="40.33203125" style="88" bestFit="1" customWidth="1"/>
    <col min="16135" max="16135" width="39.109375" style="88" bestFit="1" customWidth="1"/>
    <col min="16136" max="16136" width="10.88671875" style="88" bestFit="1" customWidth="1"/>
    <col min="16137" max="16137" width="11.6640625" style="88" bestFit="1" customWidth="1"/>
    <col min="16138" max="16138" width="21.44140625" style="88" bestFit="1" customWidth="1"/>
    <col min="16139" max="16139" width="40.33203125" style="88" bestFit="1" customWidth="1"/>
    <col min="16140" max="16140" width="17.6640625" style="88" bestFit="1" customWidth="1"/>
    <col min="16141" max="16384" width="9.109375" style="88" customWidth="1"/>
  </cols>
  <sheetData>
    <row r="1" spans="1:12" x14ac:dyDescent="0.3">
      <c r="A1" s="173"/>
      <c r="B1" s="174" t="s">
        <v>110</v>
      </c>
      <c r="C1" s="174" t="s">
        <v>111</v>
      </c>
      <c r="D1" s="173"/>
      <c r="E1" s="173"/>
      <c r="F1" s="173"/>
      <c r="G1" s="173"/>
      <c r="H1" s="173"/>
      <c r="I1" s="173"/>
      <c r="J1" s="173"/>
      <c r="K1" s="173"/>
      <c r="L1" s="173"/>
    </row>
    <row r="2" spans="1:12" x14ac:dyDescent="0.3">
      <c r="B2" s="179">
        <v>88170</v>
      </c>
      <c r="C2" s="175" t="s">
        <v>112</v>
      </c>
      <c r="F2" s="161"/>
      <c r="K2" s="176"/>
    </row>
    <row r="3" spans="1:12" x14ac:dyDescent="0.3">
      <c r="B3" s="179">
        <v>101422</v>
      </c>
      <c r="C3" s="175" t="s">
        <v>113</v>
      </c>
      <c r="F3" s="161"/>
      <c r="K3" s="176"/>
    </row>
    <row r="4" spans="1:12" x14ac:dyDescent="0.3">
      <c r="B4" s="179">
        <v>1917</v>
      </c>
      <c r="C4" s="175" t="s">
        <v>114</v>
      </c>
      <c r="F4" s="161"/>
      <c r="K4" s="176"/>
    </row>
    <row r="5" spans="1:12" x14ac:dyDescent="0.3">
      <c r="B5" s="179">
        <v>3122</v>
      </c>
      <c r="C5" s="175" t="s">
        <v>115</v>
      </c>
      <c r="F5" s="161"/>
      <c r="K5" s="176"/>
    </row>
    <row r="6" spans="1:12" x14ac:dyDescent="0.3">
      <c r="B6" s="179">
        <v>3303</v>
      </c>
      <c r="C6" s="175" t="s">
        <v>116</v>
      </c>
      <c r="F6" s="161"/>
      <c r="K6" s="176"/>
    </row>
    <row r="7" spans="1:12" x14ac:dyDescent="0.3">
      <c r="B7" s="179">
        <v>5216</v>
      </c>
      <c r="C7" s="175" t="s">
        <v>117</v>
      </c>
      <c r="F7" s="161"/>
      <c r="K7" s="176"/>
    </row>
    <row r="8" spans="1:12" x14ac:dyDescent="0.3">
      <c r="B8" s="179">
        <v>10696</v>
      </c>
      <c r="C8" s="175" t="s">
        <v>118</v>
      </c>
      <c r="F8" s="161"/>
      <c r="K8" s="176"/>
    </row>
    <row r="9" spans="1:12" x14ac:dyDescent="0.3">
      <c r="B9" s="179">
        <v>31522</v>
      </c>
      <c r="C9" s="175" t="s">
        <v>119</v>
      </c>
      <c r="F9" s="161"/>
      <c r="K9" s="176"/>
    </row>
    <row r="10" spans="1:12" x14ac:dyDescent="0.3">
      <c r="B10" s="179">
        <v>33577</v>
      </c>
      <c r="C10" s="175" t="s">
        <v>120</v>
      </c>
      <c r="F10" s="161"/>
      <c r="K10" s="176"/>
    </row>
    <row r="11" spans="1:12" x14ac:dyDescent="0.3">
      <c r="B11" s="179">
        <v>53726</v>
      </c>
      <c r="C11" s="175" t="s">
        <v>121</v>
      </c>
      <c r="F11" s="161"/>
      <c r="K11" s="176"/>
    </row>
    <row r="12" spans="1:12" x14ac:dyDescent="0.3">
      <c r="B12" s="179">
        <v>82071</v>
      </c>
      <c r="C12" s="175" t="s">
        <v>122</v>
      </c>
      <c r="F12" s="161"/>
      <c r="K12" s="176"/>
    </row>
    <row r="13" spans="1:12" x14ac:dyDescent="0.3">
      <c r="B13" s="179">
        <v>90471</v>
      </c>
      <c r="C13" s="175" t="s">
        <v>123</v>
      </c>
      <c r="F13" s="161"/>
      <c r="K13" s="176"/>
    </row>
    <row r="14" spans="1:12" x14ac:dyDescent="0.3">
      <c r="B14" s="179">
        <v>3547</v>
      </c>
      <c r="C14" s="175" t="s">
        <v>124</v>
      </c>
      <c r="F14" s="161"/>
      <c r="K14" s="176"/>
    </row>
    <row r="15" spans="1:12" x14ac:dyDescent="0.3">
      <c r="B15" s="179">
        <v>4337</v>
      </c>
      <c r="C15" s="175" t="s">
        <v>125</v>
      </c>
      <c r="F15" s="161"/>
      <c r="K15" s="176"/>
    </row>
    <row r="16" spans="1:12" x14ac:dyDescent="0.3">
      <c r="B16" s="179">
        <v>5739</v>
      </c>
      <c r="C16" s="175" t="s">
        <v>126</v>
      </c>
      <c r="F16" s="161"/>
      <c r="K16" s="176"/>
    </row>
    <row r="17" spans="2:11" x14ac:dyDescent="0.3">
      <c r="B17" s="179">
        <v>5943</v>
      </c>
      <c r="C17" s="175" t="s">
        <v>127</v>
      </c>
      <c r="F17" s="161"/>
      <c r="K17" s="176"/>
    </row>
    <row r="18" spans="2:11" x14ac:dyDescent="0.3">
      <c r="B18" s="179">
        <v>6152</v>
      </c>
      <c r="C18" s="175" t="s">
        <v>128</v>
      </c>
      <c r="F18" s="161"/>
      <c r="K18" s="176"/>
    </row>
    <row r="19" spans="2:11" x14ac:dyDescent="0.3">
      <c r="B19" s="179">
        <v>21998</v>
      </c>
      <c r="C19" s="175" t="s">
        <v>129</v>
      </c>
      <c r="F19" s="161"/>
      <c r="K19" s="176"/>
    </row>
    <row r="20" spans="2:11" x14ac:dyDescent="0.3">
      <c r="B20" s="179">
        <v>40333</v>
      </c>
      <c r="C20" s="175" t="s">
        <v>130</v>
      </c>
      <c r="F20" s="161"/>
      <c r="K20" s="176"/>
    </row>
    <row r="21" spans="2:11" x14ac:dyDescent="0.3">
      <c r="B21" s="179">
        <v>51514</v>
      </c>
      <c r="C21" s="175" t="s">
        <v>131</v>
      </c>
      <c r="F21" s="161"/>
      <c r="K21" s="176"/>
    </row>
    <row r="22" spans="2:11" x14ac:dyDescent="0.3">
      <c r="B22" s="179">
        <v>52382</v>
      </c>
      <c r="C22" s="175" t="s">
        <v>132</v>
      </c>
      <c r="F22" s="161"/>
      <c r="K22" s="176"/>
    </row>
    <row r="23" spans="2:11" x14ac:dyDescent="0.3">
      <c r="B23" s="179">
        <v>53982</v>
      </c>
      <c r="C23" s="175" t="s">
        <v>133</v>
      </c>
      <c r="F23" s="161"/>
      <c r="K23" s="176"/>
    </row>
    <row r="24" spans="2:11" x14ac:dyDescent="0.3">
      <c r="B24" s="179">
        <v>1981</v>
      </c>
      <c r="C24" s="175" t="s">
        <v>134</v>
      </c>
      <c r="F24" s="161"/>
      <c r="K24" s="176"/>
    </row>
    <row r="25" spans="2:11" x14ac:dyDescent="0.3">
      <c r="B25" s="179">
        <v>89240</v>
      </c>
      <c r="C25" s="175" t="s">
        <v>135</v>
      </c>
      <c r="F25" s="161"/>
      <c r="K25" s="176"/>
    </row>
    <row r="26" spans="2:11" x14ac:dyDescent="0.3">
      <c r="B26" s="179">
        <v>100377</v>
      </c>
      <c r="C26" s="175" t="s">
        <v>136</v>
      </c>
      <c r="F26" s="161"/>
      <c r="K26" s="176"/>
    </row>
    <row r="27" spans="2:11" x14ac:dyDescent="0.3">
      <c r="B27" s="179">
        <v>100675</v>
      </c>
      <c r="C27" s="175" t="s">
        <v>137</v>
      </c>
      <c r="F27" s="161"/>
      <c r="K27" s="176"/>
    </row>
    <row r="28" spans="2:11" x14ac:dyDescent="0.3">
      <c r="B28" s="179">
        <v>87964</v>
      </c>
      <c r="C28" s="175" t="s">
        <v>138</v>
      </c>
      <c r="F28" s="161"/>
      <c r="K28" s="176"/>
    </row>
    <row r="29" spans="2:11" x14ac:dyDescent="0.3">
      <c r="B29" s="179">
        <v>89670</v>
      </c>
      <c r="C29" s="175" t="s">
        <v>139</v>
      </c>
      <c r="F29" s="161"/>
      <c r="K29" s="176"/>
    </row>
    <row r="30" spans="2:11" x14ac:dyDescent="0.3">
      <c r="B30" s="179">
        <v>91115</v>
      </c>
      <c r="C30" s="175" t="s">
        <v>140</v>
      </c>
      <c r="F30" s="161"/>
      <c r="K30" s="176"/>
    </row>
    <row r="31" spans="2:11" x14ac:dyDescent="0.3">
      <c r="B31" s="179">
        <v>100947</v>
      </c>
      <c r="C31" s="175" t="s">
        <v>141</v>
      </c>
      <c r="F31" s="161"/>
      <c r="K31" s="176"/>
    </row>
    <row r="32" spans="2:11" x14ac:dyDescent="0.3">
      <c r="B32" s="179">
        <v>6214</v>
      </c>
      <c r="C32" s="175" t="s">
        <v>142</v>
      </c>
      <c r="F32" s="161"/>
      <c r="K32" s="176"/>
    </row>
    <row r="33" spans="2:11" x14ac:dyDescent="0.3">
      <c r="B33" s="179">
        <v>53584</v>
      </c>
      <c r="C33" s="175" t="s">
        <v>143</v>
      </c>
      <c r="F33" s="161"/>
      <c r="K33" s="176"/>
    </row>
    <row r="34" spans="2:11" x14ac:dyDescent="0.3">
      <c r="B34" s="179">
        <v>87287</v>
      </c>
      <c r="C34" s="175" t="s">
        <v>144</v>
      </c>
      <c r="F34" s="161"/>
      <c r="K34" s="176"/>
    </row>
    <row r="35" spans="2:11" x14ac:dyDescent="0.3">
      <c r="B35" s="179">
        <v>88547</v>
      </c>
      <c r="C35" s="175" t="s">
        <v>145</v>
      </c>
      <c r="F35" s="161"/>
      <c r="K35" s="176"/>
    </row>
    <row r="36" spans="2:11" x14ac:dyDescent="0.3">
      <c r="B36" s="179">
        <v>90361</v>
      </c>
      <c r="C36" s="175" t="s">
        <v>146</v>
      </c>
      <c r="F36" s="161"/>
      <c r="K36" s="176"/>
    </row>
    <row r="37" spans="2:11" x14ac:dyDescent="0.3">
      <c r="B37" s="179">
        <v>91122</v>
      </c>
      <c r="C37" s="175" t="s">
        <v>147</v>
      </c>
      <c r="F37" s="161"/>
      <c r="K37" s="176"/>
    </row>
    <row r="38" spans="2:11" x14ac:dyDescent="0.3">
      <c r="B38" s="179">
        <v>100963</v>
      </c>
      <c r="C38" s="175" t="s">
        <v>148</v>
      </c>
      <c r="F38" s="161"/>
      <c r="K38" s="176"/>
    </row>
    <row r="39" spans="2:11" x14ac:dyDescent="0.3">
      <c r="B39" s="179">
        <v>3553</v>
      </c>
      <c r="C39" s="175" t="s">
        <v>149</v>
      </c>
      <c r="F39" s="161"/>
      <c r="K39" s="176"/>
    </row>
    <row r="40" spans="2:11" x14ac:dyDescent="0.3">
      <c r="B40" s="179">
        <v>6093</v>
      </c>
      <c r="C40" s="175" t="s">
        <v>150</v>
      </c>
      <c r="F40" s="161"/>
      <c r="K40" s="176"/>
    </row>
    <row r="41" spans="2:11" x14ac:dyDescent="0.3">
      <c r="B41" s="179">
        <v>8872</v>
      </c>
      <c r="C41" s="175" t="s">
        <v>151</v>
      </c>
      <c r="F41" s="161"/>
      <c r="K41" s="176"/>
    </row>
    <row r="42" spans="2:11" x14ac:dyDescent="0.3">
      <c r="B42" s="179">
        <v>37162</v>
      </c>
      <c r="C42" s="175" t="s">
        <v>152</v>
      </c>
      <c r="F42" s="161"/>
      <c r="K42" s="176"/>
    </row>
    <row r="43" spans="2:11" x14ac:dyDescent="0.3">
      <c r="B43" s="179">
        <v>54680</v>
      </c>
      <c r="C43" s="175" t="s">
        <v>153</v>
      </c>
      <c r="F43" s="161"/>
      <c r="K43" s="176"/>
    </row>
    <row r="44" spans="2:11" x14ac:dyDescent="0.3">
      <c r="B44" s="179">
        <v>81745</v>
      </c>
      <c r="C44" s="175" t="s">
        <v>154</v>
      </c>
      <c r="F44" s="161"/>
      <c r="K44" s="176"/>
    </row>
    <row r="45" spans="2:11" x14ac:dyDescent="0.3">
      <c r="B45" s="179">
        <v>82598</v>
      </c>
      <c r="C45" s="175" t="s">
        <v>155</v>
      </c>
      <c r="F45" s="161"/>
      <c r="K45" s="176"/>
    </row>
    <row r="46" spans="2:11" x14ac:dyDescent="0.3">
      <c r="B46" s="179">
        <v>86553</v>
      </c>
      <c r="C46" s="175" t="s">
        <v>156</v>
      </c>
      <c r="F46" s="161"/>
      <c r="K46" s="176"/>
    </row>
    <row r="47" spans="2:11" x14ac:dyDescent="0.3">
      <c r="B47" s="179">
        <v>89096</v>
      </c>
      <c r="C47" s="175" t="s">
        <v>157</v>
      </c>
      <c r="F47" s="161"/>
      <c r="K47" s="176"/>
    </row>
    <row r="48" spans="2:11" x14ac:dyDescent="0.3">
      <c r="B48" s="179">
        <v>1501</v>
      </c>
      <c r="C48" s="175" t="s">
        <v>158</v>
      </c>
      <c r="F48" s="161"/>
      <c r="K48" s="176"/>
    </row>
    <row r="49" spans="2:11" x14ac:dyDescent="0.3">
      <c r="B49" s="179">
        <v>100708</v>
      </c>
      <c r="C49" s="175" t="s">
        <v>159</v>
      </c>
      <c r="F49" s="161"/>
      <c r="K49" s="176"/>
    </row>
    <row r="50" spans="2:11" x14ac:dyDescent="0.3">
      <c r="B50" s="179">
        <v>101565</v>
      </c>
      <c r="C50" s="175" t="s">
        <v>160</v>
      </c>
      <c r="F50" s="161"/>
      <c r="K50" s="176"/>
    </row>
    <row r="51" spans="2:11" x14ac:dyDescent="0.3">
      <c r="B51" s="179">
        <v>3239</v>
      </c>
      <c r="C51" s="175" t="s">
        <v>161</v>
      </c>
      <c r="F51" s="161"/>
      <c r="K51" s="176"/>
    </row>
    <row r="52" spans="2:11" x14ac:dyDescent="0.3">
      <c r="B52" s="179">
        <v>3426</v>
      </c>
      <c r="C52" s="175" t="s">
        <v>162</v>
      </c>
      <c r="F52" s="161"/>
      <c r="K52" s="176"/>
    </row>
    <row r="53" spans="2:11" x14ac:dyDescent="0.3">
      <c r="B53" s="179">
        <v>4249</v>
      </c>
      <c r="C53" s="175" t="s">
        <v>163</v>
      </c>
      <c r="F53" s="161"/>
      <c r="K53" s="176"/>
    </row>
    <row r="54" spans="2:11" x14ac:dyDescent="0.3">
      <c r="B54" s="179">
        <v>5611</v>
      </c>
      <c r="C54" s="175" t="s">
        <v>164</v>
      </c>
      <c r="F54" s="161"/>
      <c r="K54" s="176"/>
    </row>
    <row r="55" spans="2:11" x14ac:dyDescent="0.3">
      <c r="B55" s="179">
        <v>5651</v>
      </c>
      <c r="C55" s="175" t="s">
        <v>165</v>
      </c>
      <c r="F55" s="161"/>
      <c r="K55" s="176"/>
    </row>
    <row r="56" spans="2:11" x14ac:dyDescent="0.3">
      <c r="B56" s="179">
        <v>20618</v>
      </c>
      <c r="C56" s="175" t="s">
        <v>166</v>
      </c>
      <c r="F56" s="161"/>
      <c r="K56" s="176"/>
    </row>
    <row r="57" spans="2:11" x14ac:dyDescent="0.3">
      <c r="B57" s="179">
        <v>70356</v>
      </c>
      <c r="C57" s="175" t="s">
        <v>167</v>
      </c>
      <c r="F57" s="161"/>
      <c r="K57" s="176"/>
    </row>
    <row r="58" spans="2:11" x14ac:dyDescent="0.3">
      <c r="B58" s="179">
        <v>83883</v>
      </c>
      <c r="C58" s="175" t="s">
        <v>168</v>
      </c>
      <c r="F58" s="161"/>
      <c r="K58" s="176"/>
    </row>
    <row r="59" spans="2:11" x14ac:dyDescent="0.3">
      <c r="B59" s="179">
        <v>90024</v>
      </c>
      <c r="C59" s="175" t="s">
        <v>169</v>
      </c>
      <c r="F59" s="161"/>
      <c r="K59" s="176"/>
    </row>
    <row r="60" spans="2:11" x14ac:dyDescent="0.3">
      <c r="B60" s="179">
        <v>90082</v>
      </c>
      <c r="C60" s="175" t="s">
        <v>170</v>
      </c>
      <c r="F60" s="161"/>
      <c r="K60" s="176"/>
    </row>
    <row r="61" spans="2:11" x14ac:dyDescent="0.3">
      <c r="B61" s="179">
        <v>1058</v>
      </c>
      <c r="C61" s="175" t="s">
        <v>171</v>
      </c>
      <c r="F61" s="161"/>
      <c r="K61" s="176"/>
    </row>
    <row r="62" spans="2:11" x14ac:dyDescent="0.3">
      <c r="B62" s="179">
        <v>2121</v>
      </c>
      <c r="C62" s="175" t="s">
        <v>172</v>
      </c>
      <c r="F62" s="161"/>
      <c r="K62" s="176"/>
    </row>
    <row r="63" spans="2:11" x14ac:dyDescent="0.3">
      <c r="B63" s="179">
        <v>2304</v>
      </c>
      <c r="C63" s="175" t="s">
        <v>173</v>
      </c>
      <c r="F63" s="161"/>
      <c r="K63" s="176"/>
    </row>
    <row r="64" spans="2:11" x14ac:dyDescent="0.3">
      <c r="B64" s="179">
        <v>2361</v>
      </c>
      <c r="C64" s="175" t="s">
        <v>174</v>
      </c>
      <c r="F64" s="161"/>
      <c r="K64" s="176"/>
    </row>
    <row r="65" spans="2:11" x14ac:dyDescent="0.3">
      <c r="B65" s="179">
        <v>2757</v>
      </c>
      <c r="C65" s="175" t="s">
        <v>175</v>
      </c>
      <c r="F65" s="161"/>
      <c r="K65" s="176"/>
    </row>
    <row r="66" spans="2:11" x14ac:dyDescent="0.3">
      <c r="B66" s="179">
        <v>2792</v>
      </c>
      <c r="C66" s="175" t="s">
        <v>176</v>
      </c>
      <c r="F66" s="161"/>
      <c r="K66" s="176"/>
    </row>
    <row r="67" spans="2:11" x14ac:dyDescent="0.3">
      <c r="B67" s="179">
        <v>2900</v>
      </c>
      <c r="C67" s="175" t="s">
        <v>177</v>
      </c>
      <c r="F67" s="161"/>
      <c r="K67" s="176"/>
    </row>
    <row r="68" spans="2:11" x14ac:dyDescent="0.3">
      <c r="B68" s="179">
        <v>2933</v>
      </c>
      <c r="C68" s="175" t="s">
        <v>178</v>
      </c>
      <c r="F68" s="161"/>
      <c r="K68" s="176"/>
    </row>
    <row r="69" spans="2:11" x14ac:dyDescent="0.3">
      <c r="B69" s="179">
        <v>2996</v>
      </c>
      <c r="C69" s="175" t="s">
        <v>179</v>
      </c>
      <c r="F69" s="161"/>
      <c r="K69" s="176"/>
    </row>
    <row r="70" spans="2:11" x14ac:dyDescent="0.3">
      <c r="B70" s="179">
        <v>3497</v>
      </c>
      <c r="C70" s="175" t="s">
        <v>180</v>
      </c>
      <c r="F70" s="161"/>
      <c r="K70" s="176"/>
    </row>
    <row r="71" spans="2:11" x14ac:dyDescent="0.3">
      <c r="B71" s="179">
        <v>3501</v>
      </c>
      <c r="C71" s="175" t="s">
        <v>181</v>
      </c>
      <c r="F71" s="161"/>
      <c r="K71" s="176"/>
    </row>
    <row r="72" spans="2:11" x14ac:dyDescent="0.3">
      <c r="B72" s="179">
        <v>3550</v>
      </c>
      <c r="C72" s="175" t="s">
        <v>182</v>
      </c>
      <c r="F72" s="161"/>
      <c r="K72" s="176"/>
    </row>
    <row r="73" spans="2:11" x14ac:dyDescent="0.3">
      <c r="B73" s="179">
        <v>3831</v>
      </c>
      <c r="C73" s="175" t="s">
        <v>183</v>
      </c>
      <c r="F73" s="161"/>
      <c r="K73" s="176"/>
    </row>
    <row r="74" spans="2:11" x14ac:dyDescent="0.3">
      <c r="B74" s="179">
        <v>3839</v>
      </c>
      <c r="C74" s="175" t="s">
        <v>184</v>
      </c>
      <c r="F74" s="161"/>
      <c r="K74" s="176"/>
    </row>
    <row r="75" spans="2:11" x14ac:dyDescent="0.3">
      <c r="B75" s="179">
        <v>3910</v>
      </c>
      <c r="C75" s="175" t="s">
        <v>185</v>
      </c>
      <c r="F75" s="161"/>
      <c r="K75" s="176"/>
    </row>
    <row r="76" spans="2:11" x14ac:dyDescent="0.3">
      <c r="B76" s="179">
        <v>3955</v>
      </c>
      <c r="C76" s="175" t="s">
        <v>186</v>
      </c>
      <c r="F76" s="161"/>
      <c r="K76" s="176"/>
    </row>
    <row r="77" spans="2:11" x14ac:dyDescent="0.3">
      <c r="B77" s="179">
        <v>4184</v>
      </c>
      <c r="C77" s="175" t="s">
        <v>187</v>
      </c>
      <c r="F77" s="161"/>
      <c r="K77" s="176"/>
    </row>
    <row r="78" spans="2:11" x14ac:dyDescent="0.3">
      <c r="B78" s="179">
        <v>4553</v>
      </c>
      <c r="C78" s="175" t="s">
        <v>188</v>
      </c>
      <c r="F78" s="161"/>
      <c r="K78" s="176"/>
    </row>
    <row r="79" spans="2:11" x14ac:dyDescent="0.3">
      <c r="B79" s="179">
        <v>4617</v>
      </c>
      <c r="C79" s="175" t="s">
        <v>189</v>
      </c>
      <c r="F79" s="161"/>
      <c r="K79" s="176"/>
    </row>
    <row r="80" spans="2:11" x14ac:dyDescent="0.3">
      <c r="B80" s="179">
        <v>4815</v>
      </c>
      <c r="C80" s="175" t="s">
        <v>190</v>
      </c>
      <c r="F80" s="161"/>
      <c r="K80" s="176"/>
    </row>
    <row r="81" spans="2:11" x14ac:dyDescent="0.3">
      <c r="B81" s="179">
        <v>5280</v>
      </c>
      <c r="C81" s="175" t="s">
        <v>191</v>
      </c>
      <c r="F81" s="161"/>
      <c r="K81" s="176"/>
    </row>
    <row r="82" spans="2:11" x14ac:dyDescent="0.3">
      <c r="B82" s="179">
        <v>5312</v>
      </c>
      <c r="C82" s="175" t="s">
        <v>192</v>
      </c>
      <c r="F82" s="161"/>
      <c r="K82" s="176"/>
    </row>
    <row r="83" spans="2:11" x14ac:dyDescent="0.3">
      <c r="B83" s="179">
        <v>5496</v>
      </c>
      <c r="C83" s="175" t="s">
        <v>193</v>
      </c>
      <c r="F83" s="161"/>
      <c r="K83" s="176"/>
    </row>
    <row r="84" spans="2:11" x14ac:dyDescent="0.3">
      <c r="B84" s="179">
        <v>5741</v>
      </c>
      <c r="C84" s="175" t="s">
        <v>194</v>
      </c>
      <c r="F84" s="161"/>
      <c r="K84" s="176"/>
    </row>
    <row r="85" spans="2:11" x14ac:dyDescent="0.3">
      <c r="B85" s="179">
        <v>5970</v>
      </c>
      <c r="C85" s="175" t="s">
        <v>195</v>
      </c>
      <c r="F85" s="161"/>
      <c r="K85" s="176"/>
    </row>
    <row r="86" spans="2:11" x14ac:dyDescent="0.3">
      <c r="B86" s="179">
        <v>6095</v>
      </c>
      <c r="C86" s="175" t="s">
        <v>196</v>
      </c>
      <c r="F86" s="161"/>
      <c r="K86" s="176"/>
    </row>
    <row r="87" spans="2:11" x14ac:dyDescent="0.3">
      <c r="B87" s="179">
        <v>6135</v>
      </c>
      <c r="C87" s="175" t="s">
        <v>197</v>
      </c>
      <c r="F87" s="161"/>
      <c r="K87" s="176"/>
    </row>
    <row r="88" spans="2:11" x14ac:dyDescent="0.3">
      <c r="B88" s="179">
        <v>6234</v>
      </c>
      <c r="C88" s="175" t="s">
        <v>198</v>
      </c>
      <c r="F88" s="161"/>
      <c r="K88" s="176"/>
    </row>
    <row r="89" spans="2:11" x14ac:dyDescent="0.3">
      <c r="B89" s="179">
        <v>6331</v>
      </c>
      <c r="C89" s="175" t="s">
        <v>199</v>
      </c>
      <c r="F89" s="161"/>
      <c r="K89" s="176"/>
    </row>
    <row r="90" spans="2:11" x14ac:dyDescent="0.3">
      <c r="B90" s="179">
        <v>6365</v>
      </c>
      <c r="C90" s="175" t="s">
        <v>200</v>
      </c>
      <c r="F90" s="161"/>
      <c r="K90" s="176"/>
    </row>
    <row r="91" spans="2:11" x14ac:dyDescent="0.3">
      <c r="B91" s="179">
        <v>7880</v>
      </c>
      <c r="C91" s="175" t="s">
        <v>201</v>
      </c>
      <c r="F91" s="161"/>
      <c r="K91" s="176"/>
    </row>
    <row r="92" spans="2:11" x14ac:dyDescent="0.3">
      <c r="B92" s="179">
        <v>8056</v>
      </c>
      <c r="C92" s="175" t="s">
        <v>202</v>
      </c>
      <c r="F92" s="161"/>
      <c r="K92" s="176"/>
    </row>
    <row r="93" spans="2:11" x14ac:dyDescent="0.3">
      <c r="B93" s="179">
        <v>34567</v>
      </c>
      <c r="C93" s="175" t="s">
        <v>203</v>
      </c>
      <c r="F93" s="161"/>
      <c r="K93" s="176"/>
    </row>
    <row r="94" spans="2:11" x14ac:dyDescent="0.3">
      <c r="B94" s="179">
        <v>37348</v>
      </c>
      <c r="C94" s="175" t="s">
        <v>204</v>
      </c>
      <c r="F94" s="161"/>
      <c r="K94" s="176"/>
    </row>
    <row r="95" spans="2:11" x14ac:dyDescent="0.3">
      <c r="B95" s="179">
        <v>67176</v>
      </c>
      <c r="C95" s="175" t="s">
        <v>205</v>
      </c>
      <c r="F95" s="161"/>
      <c r="K95" s="176"/>
    </row>
    <row r="96" spans="2:11" x14ac:dyDescent="0.3">
      <c r="B96" s="179">
        <v>82510</v>
      </c>
      <c r="C96" s="175" t="s">
        <v>206</v>
      </c>
      <c r="F96" s="161"/>
      <c r="K96" s="176"/>
    </row>
    <row r="97" spans="2:11" x14ac:dyDescent="0.3">
      <c r="B97" s="179">
        <v>87982</v>
      </c>
      <c r="C97" s="175" t="s">
        <v>207</v>
      </c>
      <c r="F97" s="161"/>
      <c r="K97" s="176"/>
    </row>
    <row r="98" spans="2:11" x14ac:dyDescent="0.3">
      <c r="B98" s="179">
        <v>88346</v>
      </c>
      <c r="C98" s="175" t="s">
        <v>208</v>
      </c>
      <c r="F98" s="161"/>
      <c r="K98" s="176"/>
    </row>
    <row r="99" spans="2:11" x14ac:dyDescent="0.3">
      <c r="B99" s="179">
        <v>100561</v>
      </c>
      <c r="C99" s="175" t="s">
        <v>209</v>
      </c>
      <c r="F99" s="161"/>
      <c r="K99" s="176"/>
    </row>
    <row r="100" spans="2:11" x14ac:dyDescent="0.3">
      <c r="B100" s="179">
        <v>1518</v>
      </c>
      <c r="C100" s="175" t="s">
        <v>210</v>
      </c>
      <c r="F100" s="161"/>
      <c r="K100" s="176"/>
    </row>
    <row r="101" spans="2:11" x14ac:dyDescent="0.3">
      <c r="B101" s="179">
        <v>1591</v>
      </c>
      <c r="C101" s="175" t="s">
        <v>211</v>
      </c>
      <c r="F101" s="161"/>
      <c r="K101" s="176"/>
    </row>
    <row r="102" spans="2:11" x14ac:dyDescent="0.3">
      <c r="B102" s="179">
        <v>2008</v>
      </c>
      <c r="C102" s="175" t="s">
        <v>212</v>
      </c>
      <c r="F102" s="161"/>
      <c r="K102" s="176"/>
    </row>
    <row r="103" spans="2:11" x14ac:dyDescent="0.3">
      <c r="B103" s="179">
        <v>3204</v>
      </c>
      <c r="C103" s="175" t="s">
        <v>213</v>
      </c>
      <c r="F103" s="161"/>
      <c r="K103" s="176"/>
    </row>
    <row r="104" spans="2:11" x14ac:dyDescent="0.3">
      <c r="B104" s="179">
        <v>3824</v>
      </c>
      <c r="C104" s="175" t="s">
        <v>214</v>
      </c>
      <c r="F104" s="161"/>
      <c r="K104" s="176"/>
    </row>
    <row r="105" spans="2:11" x14ac:dyDescent="0.3">
      <c r="B105" s="179">
        <v>4991</v>
      </c>
      <c r="C105" s="175" t="s">
        <v>215</v>
      </c>
      <c r="F105" s="161"/>
      <c r="K105" s="176"/>
    </row>
    <row r="106" spans="2:11" x14ac:dyDescent="0.3">
      <c r="B106" s="179">
        <v>5199</v>
      </c>
      <c r="C106" s="175" t="s">
        <v>216</v>
      </c>
      <c r="F106" s="161"/>
      <c r="K106" s="176"/>
    </row>
    <row r="107" spans="2:11" x14ac:dyDescent="0.3">
      <c r="B107" s="179">
        <v>5846</v>
      </c>
      <c r="C107" s="175" t="s">
        <v>217</v>
      </c>
      <c r="F107" s="161"/>
      <c r="K107" s="176"/>
    </row>
    <row r="108" spans="2:11" x14ac:dyDescent="0.3">
      <c r="B108" s="179">
        <v>6155</v>
      </c>
      <c r="C108" s="175" t="s">
        <v>218</v>
      </c>
      <c r="F108" s="161"/>
      <c r="K108" s="176"/>
    </row>
    <row r="109" spans="2:11" x14ac:dyDescent="0.3">
      <c r="B109" s="179">
        <v>6290</v>
      </c>
      <c r="C109" s="175" t="s">
        <v>219</v>
      </c>
      <c r="F109" s="161"/>
      <c r="K109" s="176"/>
    </row>
    <row r="110" spans="2:11" x14ac:dyDescent="0.3">
      <c r="B110" s="179">
        <v>7461</v>
      </c>
      <c r="C110" s="175" t="s">
        <v>220</v>
      </c>
      <c r="F110" s="161"/>
      <c r="K110" s="176"/>
    </row>
    <row r="111" spans="2:11" x14ac:dyDescent="0.3">
      <c r="B111" s="179">
        <v>10163</v>
      </c>
      <c r="C111" s="175" t="s">
        <v>221</v>
      </c>
      <c r="F111" s="161"/>
      <c r="K111" s="176"/>
    </row>
    <row r="112" spans="2:11" x14ac:dyDescent="0.3">
      <c r="B112" s="179">
        <v>10917</v>
      </c>
      <c r="C112" s="175" t="s">
        <v>222</v>
      </c>
      <c r="F112" s="161"/>
      <c r="K112" s="176"/>
    </row>
    <row r="113" spans="2:11" x14ac:dyDescent="0.3">
      <c r="B113" s="179">
        <v>20024</v>
      </c>
      <c r="C113" s="175" t="s">
        <v>223</v>
      </c>
      <c r="F113" s="161"/>
      <c r="K113" s="176"/>
    </row>
    <row r="114" spans="2:11" x14ac:dyDescent="0.3">
      <c r="B114" s="179">
        <v>89759</v>
      </c>
      <c r="C114" s="175" t="s">
        <v>224</v>
      </c>
      <c r="F114" s="161"/>
      <c r="K114" s="176"/>
    </row>
    <row r="115" spans="2:11" x14ac:dyDescent="0.3">
      <c r="B115" s="179">
        <v>92266</v>
      </c>
      <c r="C115" s="175" t="s">
        <v>225</v>
      </c>
      <c r="F115" s="161"/>
      <c r="K115" s="176"/>
    </row>
    <row r="116" spans="2:11" x14ac:dyDescent="0.3">
      <c r="B116" s="179">
        <v>6354</v>
      </c>
      <c r="C116" s="175" t="s">
        <v>226</v>
      </c>
      <c r="F116" s="161"/>
      <c r="K116" s="176"/>
    </row>
    <row r="117" spans="2:11" x14ac:dyDescent="0.3">
      <c r="B117" s="179">
        <v>4917</v>
      </c>
      <c r="C117" s="175" t="s">
        <v>227</v>
      </c>
      <c r="F117" s="161"/>
      <c r="K117" s="176"/>
    </row>
    <row r="118" spans="2:11" x14ac:dyDescent="0.3">
      <c r="B118" s="179">
        <v>79191</v>
      </c>
      <c r="C118" s="175" t="s">
        <v>228</v>
      </c>
      <c r="F118" s="161"/>
      <c r="K118" s="176"/>
    </row>
    <row r="119" spans="2:11" x14ac:dyDescent="0.3">
      <c r="B119" s="179">
        <v>83031</v>
      </c>
      <c r="C119" s="175" t="s">
        <v>229</v>
      </c>
      <c r="F119" s="161"/>
      <c r="K119" s="176"/>
    </row>
    <row r="120" spans="2:11" x14ac:dyDescent="0.3">
      <c r="B120" s="179">
        <v>88303</v>
      </c>
      <c r="C120" s="175" t="s">
        <v>230</v>
      </c>
      <c r="F120" s="161"/>
      <c r="K120" s="176"/>
    </row>
    <row r="121" spans="2:11" x14ac:dyDescent="0.3">
      <c r="B121" s="179">
        <v>91009</v>
      </c>
      <c r="C121" s="175" t="s">
        <v>231</v>
      </c>
      <c r="F121" s="161"/>
      <c r="K121" s="176"/>
    </row>
    <row r="122" spans="2:11" x14ac:dyDescent="0.3">
      <c r="B122" s="179">
        <v>100685</v>
      </c>
      <c r="C122" s="175" t="s">
        <v>232</v>
      </c>
      <c r="F122" s="161"/>
      <c r="K122" s="176"/>
    </row>
    <row r="123" spans="2:11" x14ac:dyDescent="0.3">
      <c r="B123" s="179">
        <v>101305</v>
      </c>
      <c r="C123" s="175" t="s">
        <v>233</v>
      </c>
      <c r="F123" s="161"/>
      <c r="K123" s="176"/>
    </row>
    <row r="124" spans="2:11" x14ac:dyDescent="0.3">
      <c r="B124" s="179">
        <v>2980</v>
      </c>
      <c r="C124" s="175" t="s">
        <v>234</v>
      </c>
      <c r="F124" s="161"/>
      <c r="K124" s="176"/>
    </row>
    <row r="125" spans="2:11" x14ac:dyDescent="0.3">
      <c r="B125" s="179">
        <v>19140</v>
      </c>
      <c r="C125" s="175" t="s">
        <v>235</v>
      </c>
      <c r="F125" s="161"/>
      <c r="K125" s="176"/>
    </row>
    <row r="126" spans="2:11" x14ac:dyDescent="0.3">
      <c r="B126" s="179">
        <v>37606</v>
      </c>
      <c r="C126" s="175" t="s">
        <v>236</v>
      </c>
      <c r="F126" s="161"/>
      <c r="K126" s="176"/>
    </row>
    <row r="127" spans="2:11" x14ac:dyDescent="0.3">
      <c r="B127" s="179">
        <v>37896</v>
      </c>
      <c r="C127" s="175" t="s">
        <v>237</v>
      </c>
      <c r="F127" s="161"/>
      <c r="K127" s="176"/>
    </row>
    <row r="128" spans="2:11" x14ac:dyDescent="0.3">
      <c r="B128" s="179">
        <v>41163</v>
      </c>
      <c r="C128" s="175" t="s">
        <v>238</v>
      </c>
      <c r="F128" s="161"/>
      <c r="K128" s="176"/>
    </row>
    <row r="129" spans="2:11" x14ac:dyDescent="0.3">
      <c r="B129" s="179">
        <v>74613</v>
      </c>
      <c r="C129" s="175" t="s">
        <v>239</v>
      </c>
      <c r="F129" s="161"/>
      <c r="K129" s="176"/>
    </row>
    <row r="130" spans="2:11" x14ac:dyDescent="0.3">
      <c r="B130" s="179">
        <v>78152</v>
      </c>
      <c r="C130" s="175" t="s">
        <v>240</v>
      </c>
      <c r="F130" s="161"/>
      <c r="K130" s="176"/>
    </row>
    <row r="131" spans="2:11" x14ac:dyDescent="0.3">
      <c r="B131" s="179">
        <v>83334</v>
      </c>
      <c r="C131" s="175" t="s">
        <v>241</v>
      </c>
      <c r="F131" s="161"/>
      <c r="K131" s="176"/>
    </row>
    <row r="132" spans="2:11" x14ac:dyDescent="0.3">
      <c r="B132" s="179">
        <v>83870</v>
      </c>
      <c r="C132" s="175" t="s">
        <v>242</v>
      </c>
      <c r="F132" s="161"/>
      <c r="K132" s="176"/>
    </row>
    <row r="133" spans="2:11" x14ac:dyDescent="0.3">
      <c r="B133" s="179">
        <v>83880</v>
      </c>
      <c r="C133" s="175" t="s">
        <v>243</v>
      </c>
      <c r="F133" s="161"/>
      <c r="K133" s="176"/>
    </row>
    <row r="134" spans="2:11" x14ac:dyDescent="0.3">
      <c r="B134" s="179">
        <v>90335</v>
      </c>
      <c r="C134" s="175" t="s">
        <v>244</v>
      </c>
      <c r="F134" s="161"/>
      <c r="K134" s="176"/>
    </row>
    <row r="135" spans="2:11" x14ac:dyDescent="0.3">
      <c r="B135" s="179">
        <v>90336</v>
      </c>
      <c r="C135" s="175" t="s">
        <v>245</v>
      </c>
      <c r="F135" s="161"/>
      <c r="K135" s="176"/>
    </row>
    <row r="136" spans="2:11" x14ac:dyDescent="0.3">
      <c r="B136" s="179">
        <v>100605</v>
      </c>
      <c r="C136" s="175" t="s">
        <v>246</v>
      </c>
      <c r="F136" s="161"/>
      <c r="K136" s="176"/>
    </row>
    <row r="137" spans="2:11" x14ac:dyDescent="0.3">
      <c r="B137" s="179">
        <v>100687</v>
      </c>
      <c r="C137" s="175" t="s">
        <v>247</v>
      </c>
      <c r="F137" s="161"/>
      <c r="K137" s="176"/>
    </row>
    <row r="138" spans="2:11" x14ac:dyDescent="0.3">
      <c r="B138" s="179">
        <v>100689</v>
      </c>
      <c r="C138" s="175" t="s">
        <v>248</v>
      </c>
      <c r="F138" s="161"/>
      <c r="K138" s="176"/>
    </row>
    <row r="139" spans="2:11" x14ac:dyDescent="0.3">
      <c r="B139" s="179">
        <v>100690</v>
      </c>
      <c r="C139" s="175" t="s">
        <v>249</v>
      </c>
      <c r="F139" s="161"/>
      <c r="K139" s="176"/>
    </row>
    <row r="140" spans="2:11" x14ac:dyDescent="0.3">
      <c r="B140" s="179">
        <v>100970</v>
      </c>
      <c r="C140" s="175" t="s">
        <v>250</v>
      </c>
      <c r="F140" s="161"/>
      <c r="K140" s="176"/>
    </row>
    <row r="141" spans="2:11" x14ac:dyDescent="0.3">
      <c r="B141" s="179">
        <v>101306</v>
      </c>
      <c r="C141" s="175" t="s">
        <v>251</v>
      </c>
      <c r="F141" s="161"/>
      <c r="K141" s="176"/>
    </row>
    <row r="142" spans="2:11" x14ac:dyDescent="0.3">
      <c r="B142" s="179">
        <v>101384</v>
      </c>
      <c r="C142" s="175" t="s">
        <v>252</v>
      </c>
      <c r="F142" s="161"/>
      <c r="K142" s="176"/>
    </row>
    <row r="143" spans="2:11" x14ac:dyDescent="0.3">
      <c r="B143" s="179">
        <v>101474</v>
      </c>
      <c r="C143" s="175" t="s">
        <v>253</v>
      </c>
      <c r="F143" s="161"/>
      <c r="K143" s="176"/>
    </row>
    <row r="144" spans="2:11" x14ac:dyDescent="0.3">
      <c r="B144" s="179">
        <v>74616</v>
      </c>
      <c r="C144" s="175" t="s">
        <v>254</v>
      </c>
      <c r="F144" s="161"/>
      <c r="K144" s="176"/>
    </row>
    <row r="145" spans="2:11" x14ac:dyDescent="0.3">
      <c r="B145" s="179">
        <v>78103</v>
      </c>
      <c r="C145" s="175" t="s">
        <v>255</v>
      </c>
      <c r="F145" s="161"/>
      <c r="K145" s="176"/>
    </row>
    <row r="146" spans="2:11" x14ac:dyDescent="0.3">
      <c r="B146" s="179">
        <v>79602</v>
      </c>
      <c r="C146" s="175" t="s">
        <v>256</v>
      </c>
      <c r="F146" s="161"/>
      <c r="K146" s="176"/>
    </row>
    <row r="147" spans="2:11" x14ac:dyDescent="0.3">
      <c r="B147" s="179">
        <v>86118</v>
      </c>
      <c r="C147" s="175" t="s">
        <v>257</v>
      </c>
      <c r="F147" s="161"/>
      <c r="K147" s="176"/>
    </row>
    <row r="148" spans="2:11" x14ac:dyDescent="0.3">
      <c r="B148" s="179">
        <v>86540</v>
      </c>
      <c r="C148" s="175" t="s">
        <v>258</v>
      </c>
      <c r="F148" s="161"/>
      <c r="K148" s="176"/>
    </row>
    <row r="149" spans="2:11" x14ac:dyDescent="0.3">
      <c r="B149" s="179">
        <v>86753</v>
      </c>
      <c r="C149" s="175" t="s">
        <v>259</v>
      </c>
      <c r="F149" s="161"/>
      <c r="K149" s="176"/>
    </row>
    <row r="150" spans="2:11" x14ac:dyDescent="0.3">
      <c r="B150" s="179">
        <v>87412</v>
      </c>
      <c r="C150" s="175" t="s">
        <v>260</v>
      </c>
      <c r="F150" s="161"/>
      <c r="K150" s="176"/>
    </row>
    <row r="151" spans="2:11" x14ac:dyDescent="0.3">
      <c r="B151" s="179">
        <v>87648</v>
      </c>
      <c r="C151" s="175" t="s">
        <v>261</v>
      </c>
      <c r="F151" s="161"/>
      <c r="K151" s="176"/>
    </row>
    <row r="152" spans="2:11" x14ac:dyDescent="0.3">
      <c r="B152" s="179">
        <v>87991</v>
      </c>
      <c r="C152" s="175" t="s">
        <v>262</v>
      </c>
      <c r="F152" s="161"/>
      <c r="K152" s="176"/>
    </row>
    <row r="153" spans="2:11" x14ac:dyDescent="0.3">
      <c r="B153" s="179">
        <v>100608</v>
      </c>
      <c r="C153" s="175" t="s">
        <v>263</v>
      </c>
      <c r="F153" s="161"/>
      <c r="K153" s="176"/>
    </row>
    <row r="154" spans="2:11" x14ac:dyDescent="0.3">
      <c r="B154" s="179">
        <v>100615</v>
      </c>
      <c r="C154" s="175" t="s">
        <v>264</v>
      </c>
      <c r="F154" s="161"/>
      <c r="K154" s="176"/>
    </row>
    <row r="155" spans="2:11" x14ac:dyDescent="0.3">
      <c r="B155" s="179">
        <v>100681</v>
      </c>
      <c r="C155" s="175" t="s">
        <v>265</v>
      </c>
      <c r="F155" s="161"/>
      <c r="K155" s="176"/>
    </row>
    <row r="156" spans="2:11" x14ac:dyDescent="0.3">
      <c r="B156" s="179">
        <v>100691</v>
      </c>
      <c r="C156" s="175" t="s">
        <v>266</v>
      </c>
      <c r="F156" s="161"/>
      <c r="K156" s="176"/>
    </row>
    <row r="157" spans="2:11" x14ac:dyDescent="0.3">
      <c r="B157" s="179">
        <v>100693</v>
      </c>
      <c r="C157" s="175" t="s">
        <v>267</v>
      </c>
      <c r="F157" s="161"/>
      <c r="K157" s="176"/>
    </row>
    <row r="158" spans="2:11" x14ac:dyDescent="0.3">
      <c r="B158" s="179">
        <v>100706</v>
      </c>
      <c r="C158" s="175" t="s">
        <v>268</v>
      </c>
      <c r="F158" s="161"/>
      <c r="K158" s="176"/>
    </row>
    <row r="159" spans="2:11" x14ac:dyDescent="0.3">
      <c r="B159" s="179">
        <v>100709</v>
      </c>
      <c r="C159" s="175" t="s">
        <v>269</v>
      </c>
      <c r="F159" s="161"/>
      <c r="K159" s="176"/>
    </row>
    <row r="160" spans="2:11" x14ac:dyDescent="0.3">
      <c r="B160" s="179">
        <v>100718</v>
      </c>
      <c r="C160" s="175" t="s">
        <v>270</v>
      </c>
      <c r="F160" s="161"/>
      <c r="K160" s="176"/>
    </row>
    <row r="161" spans="2:11" x14ac:dyDescent="0.3">
      <c r="B161" s="179">
        <v>100777</v>
      </c>
      <c r="C161" s="175" t="s">
        <v>271</v>
      </c>
      <c r="F161" s="161"/>
      <c r="K161" s="176"/>
    </row>
    <row r="162" spans="2:11" x14ac:dyDescent="0.3">
      <c r="B162" s="179">
        <v>100800</v>
      </c>
      <c r="C162" s="175" t="s">
        <v>272</v>
      </c>
      <c r="F162" s="161"/>
      <c r="K162" s="176"/>
    </row>
    <row r="163" spans="2:11" x14ac:dyDescent="0.3">
      <c r="B163" s="179">
        <v>100803</v>
      </c>
      <c r="C163" s="175" t="s">
        <v>273</v>
      </c>
      <c r="F163" s="161"/>
      <c r="K163" s="176"/>
    </row>
    <row r="164" spans="2:11" x14ac:dyDescent="0.3">
      <c r="B164" s="179">
        <v>100845</v>
      </c>
      <c r="C164" s="175" t="s">
        <v>274</v>
      </c>
      <c r="F164" s="161"/>
      <c r="K164" s="176"/>
    </row>
    <row r="165" spans="2:11" x14ac:dyDescent="0.3">
      <c r="B165" s="179">
        <v>100964</v>
      </c>
      <c r="C165" s="175" t="s">
        <v>275</v>
      </c>
      <c r="F165" s="161"/>
      <c r="K165" s="176"/>
    </row>
    <row r="166" spans="2:11" x14ac:dyDescent="0.3">
      <c r="B166" s="179">
        <v>100966</v>
      </c>
      <c r="C166" s="175" t="s">
        <v>276</v>
      </c>
      <c r="F166" s="161"/>
      <c r="K166" s="176"/>
    </row>
    <row r="167" spans="2:11" x14ac:dyDescent="0.3">
      <c r="B167" s="179">
        <v>100974</v>
      </c>
      <c r="C167" s="175" t="s">
        <v>277</v>
      </c>
      <c r="F167" s="161"/>
      <c r="K167" s="176"/>
    </row>
    <row r="168" spans="2:11" x14ac:dyDescent="0.3">
      <c r="B168" s="179">
        <v>101195</v>
      </c>
      <c r="C168" s="175" t="s">
        <v>278</v>
      </c>
      <c r="F168" s="161"/>
      <c r="K168" s="176"/>
    </row>
    <row r="169" spans="2:11" x14ac:dyDescent="0.3">
      <c r="B169" s="179">
        <v>101303</v>
      </c>
      <c r="C169" s="175" t="s">
        <v>279</v>
      </c>
      <c r="F169" s="161"/>
      <c r="K169" s="176"/>
    </row>
    <row r="170" spans="2:11" x14ac:dyDescent="0.3">
      <c r="B170" s="179">
        <v>101444</v>
      </c>
      <c r="C170" s="175" t="s">
        <v>280</v>
      </c>
      <c r="F170" s="161"/>
      <c r="K170" s="176"/>
    </row>
    <row r="171" spans="2:11" x14ac:dyDescent="0.3">
      <c r="B171" s="179">
        <v>101445</v>
      </c>
      <c r="C171" s="175" t="s">
        <v>281</v>
      </c>
      <c r="F171" s="161"/>
      <c r="K171" s="176"/>
    </row>
    <row r="172" spans="2:11" x14ac:dyDescent="0.3">
      <c r="B172" s="179">
        <v>101446</v>
      </c>
      <c r="C172" s="175" t="s">
        <v>282</v>
      </c>
      <c r="F172" s="161"/>
      <c r="K172" s="176"/>
    </row>
    <row r="173" spans="2:11" x14ac:dyDescent="0.3">
      <c r="B173" s="179">
        <v>42039</v>
      </c>
      <c r="C173" s="175" t="s">
        <v>283</v>
      </c>
      <c r="F173" s="161"/>
      <c r="K173" s="176"/>
    </row>
    <row r="174" spans="2:11" x14ac:dyDescent="0.3">
      <c r="B174" s="179">
        <v>71316</v>
      </c>
      <c r="C174" s="175" t="s">
        <v>284</v>
      </c>
      <c r="F174" s="161"/>
      <c r="K174" s="176"/>
    </row>
    <row r="175" spans="2:11" x14ac:dyDescent="0.3">
      <c r="B175" s="179">
        <v>71416</v>
      </c>
      <c r="C175" s="175" t="s">
        <v>285</v>
      </c>
      <c r="F175" s="161"/>
      <c r="K175" s="176"/>
    </row>
    <row r="176" spans="2:11" x14ac:dyDescent="0.3">
      <c r="B176" s="179">
        <v>71457</v>
      </c>
      <c r="C176" s="175" t="s">
        <v>286</v>
      </c>
      <c r="F176" s="161"/>
      <c r="K176" s="176"/>
    </row>
    <row r="177" spans="2:11" x14ac:dyDescent="0.3">
      <c r="B177" s="179">
        <v>85612</v>
      </c>
      <c r="C177" s="175" t="s">
        <v>287</v>
      </c>
      <c r="F177" s="161"/>
      <c r="K177" s="176"/>
    </row>
    <row r="178" spans="2:11" x14ac:dyDescent="0.3">
      <c r="B178" s="179">
        <v>87382</v>
      </c>
      <c r="C178" s="175" t="s">
        <v>288</v>
      </c>
      <c r="F178" s="161"/>
      <c r="K178" s="176"/>
    </row>
    <row r="179" spans="2:11" x14ac:dyDescent="0.3">
      <c r="B179" s="179">
        <v>89390</v>
      </c>
      <c r="C179" s="175" t="s">
        <v>289</v>
      </c>
      <c r="F179" s="161"/>
      <c r="K179" s="176"/>
    </row>
    <row r="180" spans="2:11" x14ac:dyDescent="0.3">
      <c r="B180" s="179">
        <v>89541</v>
      </c>
      <c r="C180" s="175" t="s">
        <v>290</v>
      </c>
      <c r="F180" s="161"/>
      <c r="K180" s="176"/>
    </row>
    <row r="181" spans="2:11" x14ac:dyDescent="0.3">
      <c r="B181" s="179">
        <v>90257</v>
      </c>
      <c r="C181" s="175" t="s">
        <v>291</v>
      </c>
      <c r="F181" s="161"/>
      <c r="K181" s="176"/>
    </row>
    <row r="182" spans="2:11" x14ac:dyDescent="0.3">
      <c r="B182" s="179">
        <v>91219</v>
      </c>
      <c r="C182" s="175" t="s">
        <v>292</v>
      </c>
      <c r="F182" s="161"/>
      <c r="K182" s="176"/>
    </row>
    <row r="183" spans="2:11" x14ac:dyDescent="0.3">
      <c r="B183" s="179">
        <v>100373</v>
      </c>
      <c r="C183" s="175" t="s">
        <v>293</v>
      </c>
      <c r="F183" s="161"/>
      <c r="K183" s="176"/>
    </row>
    <row r="184" spans="2:11" x14ac:dyDescent="0.3">
      <c r="B184" s="179">
        <v>101146</v>
      </c>
      <c r="C184" s="175" t="s">
        <v>294</v>
      </c>
      <c r="F184" s="161"/>
      <c r="K184" s="176"/>
    </row>
    <row r="185" spans="2:11" x14ac:dyDescent="0.3">
      <c r="B185" s="179">
        <v>2572</v>
      </c>
      <c r="C185" s="175" t="s">
        <v>295</v>
      </c>
      <c r="F185" s="161"/>
      <c r="K185" s="176"/>
    </row>
    <row r="186" spans="2:11" x14ac:dyDescent="0.3">
      <c r="B186" s="179">
        <v>3355</v>
      </c>
      <c r="C186" s="175" t="s">
        <v>296</v>
      </c>
      <c r="F186" s="161"/>
      <c r="K186" s="176"/>
    </row>
    <row r="187" spans="2:11" x14ac:dyDescent="0.3">
      <c r="B187" s="179">
        <v>3703</v>
      </c>
      <c r="C187" s="175" t="s">
        <v>297</v>
      </c>
      <c r="F187" s="161"/>
      <c r="K187" s="176"/>
    </row>
    <row r="188" spans="2:11" x14ac:dyDescent="0.3">
      <c r="B188" s="179">
        <v>6414</v>
      </c>
      <c r="C188" s="175" t="s">
        <v>298</v>
      </c>
      <c r="F188" s="161"/>
      <c r="K188" s="176"/>
    </row>
    <row r="189" spans="2:11" x14ac:dyDescent="0.3">
      <c r="B189" s="179">
        <v>10142</v>
      </c>
      <c r="C189" s="175" t="s">
        <v>299</v>
      </c>
      <c r="F189" s="161"/>
      <c r="K189" s="176"/>
    </row>
    <row r="190" spans="2:11" x14ac:dyDescent="0.3">
      <c r="B190" s="179">
        <v>12812</v>
      </c>
      <c r="C190" s="175" t="s">
        <v>300</v>
      </c>
      <c r="F190" s="161"/>
      <c r="K190" s="176"/>
    </row>
    <row r="191" spans="2:11" x14ac:dyDescent="0.3">
      <c r="B191" s="179">
        <v>53473</v>
      </c>
      <c r="C191" s="175" t="s">
        <v>301</v>
      </c>
      <c r="F191" s="161"/>
      <c r="K191" s="176"/>
    </row>
    <row r="192" spans="2:11" x14ac:dyDescent="0.3">
      <c r="B192" s="179">
        <v>71228</v>
      </c>
      <c r="C192" s="175" t="s">
        <v>302</v>
      </c>
      <c r="F192" s="161"/>
      <c r="K192" s="176"/>
    </row>
    <row r="193" spans="2:11" x14ac:dyDescent="0.3">
      <c r="B193" s="179">
        <v>80651</v>
      </c>
      <c r="C193" s="175" t="s">
        <v>303</v>
      </c>
      <c r="F193" s="161"/>
      <c r="K193" s="176"/>
    </row>
    <row r="194" spans="2:11" x14ac:dyDescent="0.3">
      <c r="B194" s="179">
        <v>82361</v>
      </c>
      <c r="C194" s="175" t="s">
        <v>304</v>
      </c>
      <c r="F194" s="161"/>
      <c r="K194" s="176"/>
    </row>
    <row r="195" spans="2:11" x14ac:dyDescent="0.3">
      <c r="B195" s="179">
        <v>82270</v>
      </c>
      <c r="C195" s="175" t="s">
        <v>305</v>
      </c>
      <c r="F195" s="161"/>
      <c r="K195" s="176"/>
    </row>
    <row r="196" spans="2:11" x14ac:dyDescent="0.3">
      <c r="B196" s="179">
        <v>83922</v>
      </c>
      <c r="C196" s="175" t="s">
        <v>306</v>
      </c>
      <c r="F196" s="161"/>
      <c r="K196" s="176"/>
    </row>
    <row r="197" spans="2:11" x14ac:dyDescent="0.3">
      <c r="B197" s="179">
        <v>86597</v>
      </c>
      <c r="C197" s="175" t="s">
        <v>307</v>
      </c>
      <c r="F197" s="161"/>
      <c r="K197" s="176"/>
    </row>
    <row r="198" spans="2:11" x14ac:dyDescent="0.3">
      <c r="B198" s="179">
        <v>86747</v>
      </c>
      <c r="C198" s="175" t="s">
        <v>308</v>
      </c>
      <c r="F198" s="161"/>
      <c r="K198" s="176"/>
    </row>
    <row r="199" spans="2:11" x14ac:dyDescent="0.3">
      <c r="B199" s="179">
        <v>86811</v>
      </c>
      <c r="C199" s="175" t="s">
        <v>309</v>
      </c>
      <c r="F199" s="161"/>
      <c r="K199" s="176"/>
    </row>
    <row r="200" spans="2:11" x14ac:dyDescent="0.3">
      <c r="B200" s="179">
        <v>87118</v>
      </c>
      <c r="C200" s="175" t="s">
        <v>310</v>
      </c>
      <c r="F200" s="161"/>
      <c r="K200" s="176"/>
    </row>
    <row r="201" spans="2:11" x14ac:dyDescent="0.3">
      <c r="B201" s="179">
        <v>87323</v>
      </c>
      <c r="C201" s="175" t="s">
        <v>311</v>
      </c>
      <c r="F201" s="161"/>
      <c r="K201" s="176"/>
    </row>
    <row r="202" spans="2:11" x14ac:dyDescent="0.3">
      <c r="B202" s="179">
        <v>87360</v>
      </c>
      <c r="C202" s="175" t="s">
        <v>312</v>
      </c>
      <c r="F202" s="161"/>
      <c r="K202" s="176"/>
    </row>
    <row r="203" spans="2:11" x14ac:dyDescent="0.3">
      <c r="B203" s="179">
        <v>87965</v>
      </c>
      <c r="C203" s="175" t="s">
        <v>313</v>
      </c>
      <c r="F203" s="161"/>
      <c r="K203" s="176"/>
    </row>
    <row r="204" spans="2:11" x14ac:dyDescent="0.3">
      <c r="B204" s="179">
        <v>88878</v>
      </c>
      <c r="C204" s="175" t="s">
        <v>314</v>
      </c>
      <c r="F204" s="161"/>
      <c r="K204" s="176"/>
    </row>
    <row r="205" spans="2:11" x14ac:dyDescent="0.3">
      <c r="B205" s="179">
        <v>90254</v>
      </c>
      <c r="C205" s="175" t="s">
        <v>315</v>
      </c>
      <c r="F205" s="161"/>
      <c r="K205" s="176"/>
    </row>
    <row r="206" spans="2:11" x14ac:dyDescent="0.3">
      <c r="B206" s="179">
        <v>90724</v>
      </c>
      <c r="C206" s="175" t="s">
        <v>316</v>
      </c>
      <c r="F206" s="161"/>
      <c r="K206" s="176"/>
    </row>
    <row r="207" spans="2:11" x14ac:dyDescent="0.3">
      <c r="B207" s="179">
        <v>100375</v>
      </c>
      <c r="C207" s="175" t="s">
        <v>317</v>
      </c>
      <c r="F207" s="161"/>
      <c r="K207" s="176"/>
    </row>
    <row r="208" spans="2:11" x14ac:dyDescent="0.3">
      <c r="B208" s="179">
        <v>100929</v>
      </c>
      <c r="C208" s="175" t="s">
        <v>318</v>
      </c>
      <c r="F208" s="161"/>
      <c r="K208" s="176"/>
    </row>
    <row r="209" spans="2:11" x14ac:dyDescent="0.3">
      <c r="B209" s="179">
        <v>100932</v>
      </c>
      <c r="C209" s="175" t="s">
        <v>319</v>
      </c>
      <c r="F209" s="161"/>
      <c r="K209" s="176"/>
    </row>
    <row r="210" spans="2:11" x14ac:dyDescent="0.3">
      <c r="B210" s="179">
        <v>101025</v>
      </c>
      <c r="C210" s="175" t="s">
        <v>320</v>
      </c>
      <c r="F210" s="161"/>
      <c r="K210" s="176"/>
    </row>
    <row r="211" spans="2:11" x14ac:dyDescent="0.3">
      <c r="B211" s="179">
        <v>101032</v>
      </c>
      <c r="C211" s="175" t="s">
        <v>321</v>
      </c>
      <c r="F211" s="161"/>
      <c r="K211" s="176"/>
    </row>
    <row r="212" spans="2:11" x14ac:dyDescent="0.3">
      <c r="B212" s="179">
        <v>101312</v>
      </c>
      <c r="C212" s="175" t="s">
        <v>322</v>
      </c>
      <c r="F212" s="161"/>
      <c r="K212" s="176"/>
    </row>
    <row r="213" spans="2:11" x14ac:dyDescent="0.3">
      <c r="B213" s="179">
        <v>101371</v>
      </c>
      <c r="C213" s="175" t="s">
        <v>323</v>
      </c>
      <c r="F213" s="161"/>
      <c r="K213" s="176"/>
    </row>
    <row r="214" spans="2:11" x14ac:dyDescent="0.3">
      <c r="B214" s="179">
        <v>101441</v>
      </c>
      <c r="C214" s="175" t="s">
        <v>324</v>
      </c>
      <c r="F214" s="161"/>
      <c r="K214" s="176"/>
    </row>
    <row r="215" spans="2:11" x14ac:dyDescent="0.3">
      <c r="B215" s="179">
        <v>2721</v>
      </c>
      <c r="C215" s="175" t="s">
        <v>325</v>
      </c>
      <c r="F215" s="161"/>
      <c r="K215" s="176"/>
    </row>
    <row r="216" spans="2:11" x14ac:dyDescent="0.3">
      <c r="B216" s="179">
        <v>3387</v>
      </c>
      <c r="C216" s="175" t="s">
        <v>326</v>
      </c>
      <c r="F216" s="161"/>
      <c r="K216" s="176"/>
    </row>
    <row r="217" spans="2:11" x14ac:dyDescent="0.3">
      <c r="B217" s="179">
        <v>8159</v>
      </c>
      <c r="C217" s="175" t="s">
        <v>327</v>
      </c>
      <c r="F217" s="161"/>
      <c r="K217" s="176"/>
    </row>
    <row r="218" spans="2:11" x14ac:dyDescent="0.3">
      <c r="B218" s="179">
        <v>22636</v>
      </c>
      <c r="C218" s="175" t="s">
        <v>328</v>
      </c>
      <c r="F218" s="161"/>
      <c r="K218" s="176"/>
    </row>
    <row r="219" spans="2:11" x14ac:dyDescent="0.3">
      <c r="B219" s="179">
        <v>31335</v>
      </c>
      <c r="C219" s="175" t="s">
        <v>329</v>
      </c>
      <c r="F219" s="161"/>
      <c r="K219" s="176"/>
    </row>
    <row r="220" spans="2:11" x14ac:dyDescent="0.3">
      <c r="B220" s="179">
        <v>33159</v>
      </c>
      <c r="C220" s="175" t="s">
        <v>330</v>
      </c>
      <c r="F220" s="161"/>
      <c r="K220" s="176"/>
    </row>
    <row r="221" spans="2:11" x14ac:dyDescent="0.3">
      <c r="B221" s="179">
        <v>40590</v>
      </c>
      <c r="C221" s="175" t="s">
        <v>331</v>
      </c>
      <c r="F221" s="161"/>
      <c r="K221" s="176"/>
    </row>
    <row r="222" spans="2:11" x14ac:dyDescent="0.3">
      <c r="B222" s="179">
        <v>53981</v>
      </c>
      <c r="C222" s="175" t="s">
        <v>332</v>
      </c>
      <c r="F222" s="161"/>
      <c r="K222" s="176"/>
    </row>
    <row r="223" spans="2:11" x14ac:dyDescent="0.3">
      <c r="B223" s="179">
        <v>59452</v>
      </c>
      <c r="C223" s="175" t="s">
        <v>333</v>
      </c>
      <c r="F223" s="161"/>
      <c r="K223" s="176"/>
    </row>
    <row r="224" spans="2:11" x14ac:dyDescent="0.3">
      <c r="B224" s="179">
        <v>71310</v>
      </c>
      <c r="C224" s="175" t="s">
        <v>334</v>
      </c>
      <c r="F224" s="161"/>
      <c r="K224" s="176"/>
    </row>
    <row r="225" spans="2:11" x14ac:dyDescent="0.3">
      <c r="B225" s="179">
        <v>71312</v>
      </c>
      <c r="C225" s="175" t="s">
        <v>335</v>
      </c>
      <c r="F225" s="161"/>
      <c r="K225" s="176"/>
    </row>
    <row r="226" spans="2:11" x14ac:dyDescent="0.3">
      <c r="B226" s="179">
        <v>86851</v>
      </c>
      <c r="C226" s="175" t="s">
        <v>336</v>
      </c>
      <c r="F226" s="161"/>
      <c r="K226" s="176"/>
    </row>
    <row r="227" spans="2:11" x14ac:dyDescent="0.3">
      <c r="B227" s="179">
        <v>79194</v>
      </c>
      <c r="C227" s="175" t="s">
        <v>337</v>
      </c>
      <c r="F227" s="161"/>
      <c r="K227" s="176"/>
    </row>
    <row r="228" spans="2:11" x14ac:dyDescent="0.3">
      <c r="B228" s="179">
        <v>81631</v>
      </c>
      <c r="C228" s="175" t="s">
        <v>338</v>
      </c>
      <c r="F228" s="161"/>
      <c r="K228" s="176"/>
    </row>
    <row r="229" spans="2:11" x14ac:dyDescent="0.3">
      <c r="B229" s="179">
        <v>84916</v>
      </c>
      <c r="C229" s="175" t="s">
        <v>339</v>
      </c>
      <c r="F229" s="161"/>
      <c r="K229" s="176"/>
    </row>
    <row r="230" spans="2:11" x14ac:dyDescent="0.3">
      <c r="B230" s="179">
        <v>87381</v>
      </c>
      <c r="C230" s="175" t="s">
        <v>340</v>
      </c>
      <c r="F230" s="161"/>
      <c r="K230" s="176"/>
    </row>
    <row r="231" spans="2:11" x14ac:dyDescent="0.3">
      <c r="B231" s="179">
        <v>87576</v>
      </c>
      <c r="C231" s="175" t="s">
        <v>341</v>
      </c>
      <c r="F231" s="161"/>
      <c r="K231" s="176"/>
    </row>
    <row r="232" spans="2:11" x14ac:dyDescent="0.3">
      <c r="B232" s="179">
        <v>87593</v>
      </c>
      <c r="C232" s="175" t="s">
        <v>342</v>
      </c>
      <c r="F232" s="161"/>
      <c r="K232" s="176"/>
    </row>
    <row r="233" spans="2:11" x14ac:dyDescent="0.3">
      <c r="B233" s="179">
        <v>87594</v>
      </c>
      <c r="C233" s="175" t="s">
        <v>343</v>
      </c>
      <c r="F233" s="161"/>
      <c r="K233" s="176"/>
    </row>
    <row r="234" spans="2:11" x14ac:dyDescent="0.3">
      <c r="B234" s="179">
        <v>87721</v>
      </c>
      <c r="C234" s="175" t="s">
        <v>344</v>
      </c>
      <c r="F234" s="161"/>
      <c r="K234" s="176"/>
    </row>
    <row r="235" spans="2:11" x14ac:dyDescent="0.3">
      <c r="B235" s="179">
        <v>89218</v>
      </c>
      <c r="C235" s="175" t="s">
        <v>345</v>
      </c>
      <c r="F235" s="161"/>
      <c r="K235" s="176"/>
    </row>
    <row r="236" spans="2:11" x14ac:dyDescent="0.3">
      <c r="B236" s="179">
        <v>90008</v>
      </c>
      <c r="C236" s="175" t="s">
        <v>346</v>
      </c>
      <c r="F236" s="161"/>
      <c r="K236" s="176"/>
    </row>
    <row r="237" spans="2:11" x14ac:dyDescent="0.3">
      <c r="B237" s="179">
        <v>90246</v>
      </c>
      <c r="C237" s="175" t="s">
        <v>347</v>
      </c>
      <c r="F237" s="161"/>
      <c r="K237" s="176"/>
    </row>
    <row r="238" spans="2:11" x14ac:dyDescent="0.3">
      <c r="B238" s="179">
        <v>101500</v>
      </c>
      <c r="C238" s="175" t="s">
        <v>348</v>
      </c>
      <c r="F238" s="161"/>
      <c r="K238" s="176"/>
    </row>
    <row r="239" spans="2:11" x14ac:dyDescent="0.3">
      <c r="B239" s="179">
        <v>2228</v>
      </c>
      <c r="C239" s="175" t="s">
        <v>349</v>
      </c>
      <c r="F239" s="161"/>
      <c r="K239" s="176"/>
    </row>
    <row r="240" spans="2:11" x14ac:dyDescent="0.3">
      <c r="B240" s="179">
        <v>2540</v>
      </c>
      <c r="C240" s="175" t="s">
        <v>350</v>
      </c>
      <c r="F240" s="161"/>
      <c r="K240" s="176"/>
    </row>
    <row r="241" spans="2:11" x14ac:dyDescent="0.3">
      <c r="B241" s="179">
        <v>4988</v>
      </c>
      <c r="C241" s="175" t="s">
        <v>351</v>
      </c>
      <c r="F241" s="161"/>
      <c r="K241" s="176"/>
    </row>
    <row r="242" spans="2:11" x14ac:dyDescent="0.3">
      <c r="B242" s="179">
        <v>16719</v>
      </c>
      <c r="C242" s="175" t="s">
        <v>352</v>
      </c>
      <c r="F242" s="161"/>
      <c r="K242" s="176"/>
    </row>
    <row r="243" spans="2:11" x14ac:dyDescent="0.3">
      <c r="B243" s="179">
        <v>20613</v>
      </c>
      <c r="C243" s="175" t="s">
        <v>353</v>
      </c>
      <c r="F243" s="161"/>
      <c r="K243" s="176"/>
    </row>
    <row r="244" spans="2:11" x14ac:dyDescent="0.3">
      <c r="B244" s="179">
        <v>33982</v>
      </c>
      <c r="C244" s="175" t="s">
        <v>354</v>
      </c>
      <c r="F244" s="161"/>
      <c r="K244" s="176"/>
    </row>
    <row r="245" spans="2:11" x14ac:dyDescent="0.3">
      <c r="B245" s="179">
        <v>43457</v>
      </c>
      <c r="C245" s="175" t="s">
        <v>355</v>
      </c>
      <c r="F245" s="161"/>
      <c r="K245" s="176"/>
    </row>
    <row r="246" spans="2:11" x14ac:dyDescent="0.3">
      <c r="B246" s="179">
        <v>81821</v>
      </c>
      <c r="C246" s="175" t="s">
        <v>356</v>
      </c>
      <c r="F246" s="161"/>
      <c r="K246" s="176"/>
    </row>
    <row r="247" spans="2:11" x14ac:dyDescent="0.3">
      <c r="B247" s="179">
        <v>6127</v>
      </c>
      <c r="C247" s="175" t="s">
        <v>357</v>
      </c>
      <c r="F247" s="161"/>
      <c r="K247" s="176"/>
    </row>
    <row r="248" spans="2:11" x14ac:dyDescent="0.3">
      <c r="B248" s="179">
        <v>6180</v>
      </c>
      <c r="C248" s="175" t="s">
        <v>358</v>
      </c>
      <c r="F248" s="161"/>
      <c r="K248" s="176"/>
    </row>
    <row r="249" spans="2:11" x14ac:dyDescent="0.3">
      <c r="B249" s="179">
        <v>88651</v>
      </c>
      <c r="C249" s="175" t="s">
        <v>359</v>
      </c>
      <c r="F249" s="161"/>
      <c r="K249" s="176"/>
    </row>
    <row r="250" spans="2:11" x14ac:dyDescent="0.3">
      <c r="B250" s="179">
        <v>91071</v>
      </c>
      <c r="C250" s="175" t="s">
        <v>360</v>
      </c>
      <c r="F250" s="161"/>
      <c r="K250" s="176"/>
    </row>
    <row r="251" spans="2:11" x14ac:dyDescent="0.3">
      <c r="B251" s="179">
        <v>2124</v>
      </c>
      <c r="C251" s="175" t="s">
        <v>361</v>
      </c>
      <c r="F251" s="161"/>
      <c r="K251" s="176"/>
    </row>
    <row r="252" spans="2:11" x14ac:dyDescent="0.3">
      <c r="B252" s="179">
        <v>2615</v>
      </c>
      <c r="C252" s="175" t="s">
        <v>362</v>
      </c>
      <c r="F252" s="161"/>
      <c r="K252" s="176"/>
    </row>
    <row r="253" spans="2:11" x14ac:dyDescent="0.3">
      <c r="B253" s="179">
        <v>2763</v>
      </c>
      <c r="C253" s="175" t="s">
        <v>363</v>
      </c>
      <c r="F253" s="161"/>
      <c r="K253" s="176"/>
    </row>
    <row r="254" spans="2:11" x14ac:dyDescent="0.3">
      <c r="B254" s="179">
        <v>2908</v>
      </c>
      <c r="C254" s="175" t="s">
        <v>364</v>
      </c>
      <c r="F254" s="161"/>
      <c r="K254" s="176"/>
    </row>
    <row r="255" spans="2:11" x14ac:dyDescent="0.3">
      <c r="B255" s="179">
        <v>2934</v>
      </c>
      <c r="C255" s="175" t="s">
        <v>365</v>
      </c>
      <c r="F255" s="161"/>
      <c r="K255" s="176"/>
    </row>
    <row r="256" spans="2:11" x14ac:dyDescent="0.3">
      <c r="B256" s="179">
        <v>4505</v>
      </c>
      <c r="C256" s="175" t="s">
        <v>366</v>
      </c>
      <c r="F256" s="161"/>
      <c r="K256" s="176"/>
    </row>
    <row r="257" spans="2:11" x14ac:dyDescent="0.3">
      <c r="B257" s="179">
        <v>4576</v>
      </c>
      <c r="C257" s="175" t="s">
        <v>367</v>
      </c>
      <c r="F257" s="161"/>
      <c r="K257" s="176"/>
    </row>
    <row r="258" spans="2:11" x14ac:dyDescent="0.3">
      <c r="B258" s="179">
        <v>4698</v>
      </c>
      <c r="C258" s="175" t="s">
        <v>368</v>
      </c>
      <c r="F258" s="161"/>
      <c r="K258" s="176"/>
    </row>
    <row r="259" spans="2:11" x14ac:dyDescent="0.3">
      <c r="B259" s="179">
        <v>4995</v>
      </c>
      <c r="C259" s="175" t="s">
        <v>369</v>
      </c>
      <c r="F259" s="161"/>
      <c r="K259" s="176"/>
    </row>
    <row r="260" spans="2:11" x14ac:dyDescent="0.3">
      <c r="B260" s="179">
        <v>5065</v>
      </c>
      <c r="C260" s="175" t="s">
        <v>370</v>
      </c>
      <c r="F260" s="161"/>
      <c r="K260" s="176"/>
    </row>
    <row r="261" spans="2:11" x14ac:dyDescent="0.3">
      <c r="B261" s="179">
        <v>5091</v>
      </c>
      <c r="C261" s="175" t="s">
        <v>371</v>
      </c>
      <c r="F261" s="161"/>
      <c r="K261" s="176"/>
    </row>
    <row r="262" spans="2:11" x14ac:dyDescent="0.3">
      <c r="B262" s="179">
        <v>5124</v>
      </c>
      <c r="C262" s="175" t="s">
        <v>372</v>
      </c>
      <c r="F262" s="161"/>
      <c r="K262" s="176"/>
    </row>
    <row r="263" spans="2:11" x14ac:dyDescent="0.3">
      <c r="B263" s="179">
        <v>5239</v>
      </c>
      <c r="C263" s="175" t="s">
        <v>373</v>
      </c>
      <c r="F263" s="161"/>
      <c r="K263" s="176"/>
    </row>
    <row r="264" spans="2:11" x14ac:dyDescent="0.3">
      <c r="B264" s="179">
        <v>5727</v>
      </c>
      <c r="C264" s="175" t="s">
        <v>374</v>
      </c>
      <c r="F264" s="161"/>
      <c r="K264" s="176"/>
    </row>
    <row r="265" spans="2:11" x14ac:dyDescent="0.3">
      <c r="B265" s="179">
        <v>5969</v>
      </c>
      <c r="C265" s="175" t="s">
        <v>375</v>
      </c>
      <c r="F265" s="161"/>
      <c r="K265" s="176"/>
    </row>
    <row r="266" spans="2:11" x14ac:dyDescent="0.3">
      <c r="B266" s="179">
        <v>6266</v>
      </c>
      <c r="C266" s="175" t="s">
        <v>376</v>
      </c>
      <c r="F266" s="161"/>
      <c r="K266" s="176"/>
    </row>
    <row r="267" spans="2:11" x14ac:dyDescent="0.3">
      <c r="B267" s="179">
        <v>6353</v>
      </c>
      <c r="C267" s="175" t="s">
        <v>377</v>
      </c>
      <c r="F267" s="161"/>
      <c r="K267" s="176"/>
    </row>
    <row r="268" spans="2:11" x14ac:dyDescent="0.3">
      <c r="B268" s="179">
        <v>6487</v>
      </c>
      <c r="C268" s="175" t="s">
        <v>378</v>
      </c>
      <c r="F268" s="161"/>
      <c r="K268" s="176"/>
    </row>
    <row r="269" spans="2:11" x14ac:dyDescent="0.3">
      <c r="B269" s="179">
        <v>7926</v>
      </c>
      <c r="C269" s="175" t="s">
        <v>379</v>
      </c>
      <c r="F269" s="161"/>
      <c r="K269" s="176"/>
    </row>
    <row r="270" spans="2:11" x14ac:dyDescent="0.3">
      <c r="B270" s="179">
        <v>9231</v>
      </c>
      <c r="C270" s="175" t="s">
        <v>380</v>
      </c>
      <c r="F270" s="161"/>
      <c r="K270" s="176"/>
    </row>
    <row r="271" spans="2:11" x14ac:dyDescent="0.3">
      <c r="B271" s="179">
        <v>25385</v>
      </c>
      <c r="C271" s="175" t="s">
        <v>381</v>
      </c>
      <c r="F271" s="161"/>
      <c r="K271" s="176"/>
    </row>
    <row r="272" spans="2:11" x14ac:dyDescent="0.3">
      <c r="B272" s="179">
        <v>50842</v>
      </c>
      <c r="C272" s="175" t="s">
        <v>382</v>
      </c>
      <c r="F272" s="161"/>
      <c r="K272" s="176"/>
    </row>
    <row r="273" spans="2:11" x14ac:dyDescent="0.3">
      <c r="B273" s="179">
        <v>79620</v>
      </c>
      <c r="C273" s="175" t="s">
        <v>383</v>
      </c>
      <c r="F273" s="161"/>
      <c r="K273" s="176"/>
    </row>
    <row r="274" spans="2:11" x14ac:dyDescent="0.3">
      <c r="B274" s="179">
        <v>83094</v>
      </c>
      <c r="C274" s="175" t="s">
        <v>384</v>
      </c>
      <c r="F274" s="161"/>
      <c r="K274" s="176"/>
    </row>
    <row r="275" spans="2:11" x14ac:dyDescent="0.3">
      <c r="B275" s="179">
        <v>86751</v>
      </c>
      <c r="C275" s="175" t="s">
        <v>385</v>
      </c>
      <c r="F275" s="161"/>
      <c r="K275" s="176"/>
    </row>
    <row r="276" spans="2:11" x14ac:dyDescent="0.3">
      <c r="B276" s="179">
        <v>89330</v>
      </c>
      <c r="C276" s="175" t="s">
        <v>386</v>
      </c>
      <c r="F276" s="161"/>
      <c r="K276" s="176"/>
    </row>
    <row r="277" spans="2:11" x14ac:dyDescent="0.3">
      <c r="B277" s="179">
        <v>91070</v>
      </c>
      <c r="C277" s="175" t="s">
        <v>387</v>
      </c>
      <c r="F277" s="161"/>
      <c r="K277" s="176"/>
    </row>
    <row r="278" spans="2:11" x14ac:dyDescent="0.3">
      <c r="B278" s="179">
        <v>101427</v>
      </c>
      <c r="C278" s="175" t="s">
        <v>388</v>
      </c>
      <c r="F278" s="161"/>
      <c r="K278" s="176"/>
    </row>
    <row r="279" spans="2:11" x14ac:dyDescent="0.3">
      <c r="B279" s="179">
        <v>2294</v>
      </c>
      <c r="C279" s="175" t="s">
        <v>389</v>
      </c>
      <c r="F279" s="161"/>
      <c r="K279" s="176"/>
    </row>
    <row r="280" spans="2:11" x14ac:dyDescent="0.3">
      <c r="B280" s="179">
        <v>2348</v>
      </c>
      <c r="C280" s="175" t="s">
        <v>390</v>
      </c>
      <c r="F280" s="161"/>
      <c r="K280" s="176"/>
    </row>
    <row r="281" spans="2:11" x14ac:dyDescent="0.3">
      <c r="B281" s="179">
        <v>2469</v>
      </c>
      <c r="C281" s="175" t="s">
        <v>391</v>
      </c>
      <c r="F281" s="161"/>
      <c r="K281" s="176"/>
    </row>
    <row r="282" spans="2:11" x14ac:dyDescent="0.3">
      <c r="B282" s="179">
        <v>2606</v>
      </c>
      <c r="C282" s="175" t="s">
        <v>392</v>
      </c>
      <c r="F282" s="161"/>
      <c r="K282" s="176"/>
    </row>
    <row r="283" spans="2:11" x14ac:dyDescent="0.3">
      <c r="B283" s="179">
        <v>2728</v>
      </c>
      <c r="C283" s="175" t="s">
        <v>393</v>
      </c>
      <c r="F283" s="161"/>
      <c r="K283" s="176"/>
    </row>
    <row r="284" spans="2:11" x14ac:dyDescent="0.3">
      <c r="B284" s="179">
        <v>3271</v>
      </c>
      <c r="C284" s="175" t="s">
        <v>394</v>
      </c>
      <c r="F284" s="161"/>
      <c r="K284" s="176"/>
    </row>
    <row r="285" spans="2:11" x14ac:dyDescent="0.3">
      <c r="B285" s="179">
        <v>3529</v>
      </c>
      <c r="C285" s="175" t="s">
        <v>395</v>
      </c>
      <c r="F285" s="161"/>
      <c r="K285" s="176"/>
    </row>
    <row r="286" spans="2:11" x14ac:dyDescent="0.3">
      <c r="B286" s="179">
        <v>5307</v>
      </c>
      <c r="C286" s="175" t="s">
        <v>396</v>
      </c>
      <c r="F286" s="161"/>
      <c r="K286" s="176"/>
    </row>
    <row r="287" spans="2:11" x14ac:dyDescent="0.3">
      <c r="B287" s="179">
        <v>5308</v>
      </c>
      <c r="C287" s="175" t="s">
        <v>397</v>
      </c>
      <c r="F287" s="161"/>
      <c r="K287" s="176"/>
    </row>
    <row r="288" spans="2:11" x14ac:dyDescent="0.3">
      <c r="B288" s="179">
        <v>5995</v>
      </c>
      <c r="C288" s="175" t="s">
        <v>398</v>
      </c>
      <c r="F288" s="161"/>
      <c r="K288" s="176"/>
    </row>
    <row r="289" spans="2:11" x14ac:dyDescent="0.3">
      <c r="B289" s="179">
        <v>6005</v>
      </c>
      <c r="C289" s="175" t="s">
        <v>399</v>
      </c>
      <c r="F289" s="161"/>
      <c r="K289" s="176"/>
    </row>
    <row r="290" spans="2:11" x14ac:dyDescent="0.3">
      <c r="B290" s="179">
        <v>6187</v>
      </c>
      <c r="C290" s="175" t="s">
        <v>400</v>
      </c>
      <c r="F290" s="161"/>
      <c r="K290" s="176"/>
    </row>
    <row r="291" spans="2:11" x14ac:dyDescent="0.3">
      <c r="B291" s="179">
        <v>25206</v>
      </c>
      <c r="C291" s="175" t="s">
        <v>401</v>
      </c>
      <c r="F291" s="161"/>
      <c r="K291" s="176"/>
    </row>
    <row r="292" spans="2:11" x14ac:dyDescent="0.3">
      <c r="B292" s="179">
        <v>42113</v>
      </c>
      <c r="C292" s="175" t="s">
        <v>402</v>
      </c>
      <c r="F292" s="161"/>
      <c r="K292" s="176"/>
    </row>
    <row r="293" spans="2:11" x14ac:dyDescent="0.3">
      <c r="B293" s="179">
        <v>51912</v>
      </c>
      <c r="C293" s="175" t="s">
        <v>403</v>
      </c>
      <c r="F293" s="161"/>
      <c r="K293" s="176"/>
    </row>
    <row r="294" spans="2:11" x14ac:dyDescent="0.3">
      <c r="B294" s="179">
        <v>71832</v>
      </c>
      <c r="C294" s="175" t="s">
        <v>404</v>
      </c>
      <c r="F294" s="161"/>
      <c r="K294" s="176"/>
    </row>
    <row r="295" spans="2:11" x14ac:dyDescent="0.3">
      <c r="B295" s="179">
        <v>73555</v>
      </c>
      <c r="C295" s="175" t="s">
        <v>405</v>
      </c>
      <c r="F295" s="161"/>
      <c r="K295" s="176"/>
    </row>
    <row r="296" spans="2:11" x14ac:dyDescent="0.3">
      <c r="B296" s="179">
        <v>80499</v>
      </c>
      <c r="C296" s="175" t="s">
        <v>406</v>
      </c>
      <c r="F296" s="161"/>
      <c r="K296" s="176"/>
    </row>
    <row r="297" spans="2:11" x14ac:dyDescent="0.3">
      <c r="B297" s="179">
        <v>89406</v>
      </c>
      <c r="C297" s="175" t="s">
        <v>407</v>
      </c>
      <c r="F297" s="161"/>
      <c r="K297" s="176"/>
    </row>
    <row r="298" spans="2:11" x14ac:dyDescent="0.3">
      <c r="B298" s="179">
        <v>89693</v>
      </c>
      <c r="C298" s="175" t="s">
        <v>408</v>
      </c>
      <c r="F298" s="161"/>
      <c r="K298" s="176"/>
    </row>
    <row r="299" spans="2:11" x14ac:dyDescent="0.3">
      <c r="B299" s="179">
        <v>90346</v>
      </c>
      <c r="C299" s="175" t="s">
        <v>409</v>
      </c>
      <c r="F299" s="161"/>
      <c r="K299" s="176"/>
    </row>
    <row r="300" spans="2:11" x14ac:dyDescent="0.3">
      <c r="B300" s="179">
        <v>100570</v>
      </c>
      <c r="C300" s="175" t="s">
        <v>410</v>
      </c>
      <c r="F300" s="161"/>
      <c r="K300" s="176"/>
    </row>
    <row r="301" spans="2:11" x14ac:dyDescent="0.3">
      <c r="B301" s="179">
        <v>101373</v>
      </c>
      <c r="C301" s="175" t="s">
        <v>411</v>
      </c>
      <c r="F301" s="161"/>
      <c r="K301" s="176"/>
    </row>
    <row r="302" spans="2:11" x14ac:dyDescent="0.3">
      <c r="B302" s="179">
        <v>101375</v>
      </c>
      <c r="C302" s="175" t="s">
        <v>412</v>
      </c>
      <c r="F302" s="161"/>
      <c r="K302" s="176"/>
    </row>
    <row r="303" spans="2:11" x14ac:dyDescent="0.3">
      <c r="B303" s="179">
        <v>101376</v>
      </c>
      <c r="C303" s="175" t="s">
        <v>413</v>
      </c>
      <c r="F303" s="161"/>
      <c r="K303" s="176"/>
    </row>
    <row r="304" spans="2:11" x14ac:dyDescent="0.3">
      <c r="B304" s="179">
        <v>2539</v>
      </c>
      <c r="C304" s="175" t="s">
        <v>414</v>
      </c>
      <c r="F304" s="161"/>
      <c r="K304" s="176"/>
    </row>
    <row r="305" spans="2:11" x14ac:dyDescent="0.3">
      <c r="B305" s="179">
        <v>2682</v>
      </c>
      <c r="C305" s="175" t="s">
        <v>415</v>
      </c>
      <c r="F305" s="161"/>
      <c r="K305" s="176"/>
    </row>
    <row r="306" spans="2:11" x14ac:dyDescent="0.3">
      <c r="B306" s="179">
        <v>4701</v>
      </c>
      <c r="C306" s="175" t="s">
        <v>416</v>
      </c>
      <c r="F306" s="161"/>
      <c r="K306" s="176"/>
    </row>
    <row r="307" spans="2:11" x14ac:dyDescent="0.3">
      <c r="B307" s="179">
        <v>6165</v>
      </c>
      <c r="C307" s="175" t="s">
        <v>417</v>
      </c>
      <c r="F307" s="161"/>
      <c r="K307" s="176"/>
    </row>
    <row r="308" spans="2:11" x14ac:dyDescent="0.3">
      <c r="B308" s="179">
        <v>6356</v>
      </c>
      <c r="C308" s="175" t="s">
        <v>418</v>
      </c>
      <c r="F308" s="161"/>
      <c r="K308" s="176"/>
    </row>
    <row r="309" spans="2:11" x14ac:dyDescent="0.3">
      <c r="B309" s="179">
        <v>6464</v>
      </c>
      <c r="C309" s="175" t="s">
        <v>419</v>
      </c>
      <c r="F309" s="161"/>
      <c r="K309" s="176"/>
    </row>
    <row r="310" spans="2:11" x14ac:dyDescent="0.3">
      <c r="B310" s="179">
        <v>19290</v>
      </c>
      <c r="C310" s="175" t="s">
        <v>420</v>
      </c>
      <c r="F310" s="161"/>
      <c r="K310" s="176"/>
    </row>
    <row r="311" spans="2:11" x14ac:dyDescent="0.3">
      <c r="B311" s="179">
        <v>34740</v>
      </c>
      <c r="C311" s="175" t="s">
        <v>421</v>
      </c>
      <c r="F311" s="161"/>
      <c r="K311" s="176"/>
    </row>
    <row r="312" spans="2:11" x14ac:dyDescent="0.3">
      <c r="B312" s="179">
        <v>37121</v>
      </c>
      <c r="C312" s="175" t="s">
        <v>422</v>
      </c>
      <c r="F312" s="161"/>
      <c r="K312" s="176"/>
    </row>
    <row r="313" spans="2:11" x14ac:dyDescent="0.3">
      <c r="B313" s="179">
        <v>73424</v>
      </c>
      <c r="C313" s="175" t="s">
        <v>423</v>
      </c>
      <c r="F313" s="161"/>
      <c r="K313" s="176"/>
    </row>
    <row r="314" spans="2:11" x14ac:dyDescent="0.3">
      <c r="B314" s="179">
        <v>73515</v>
      </c>
      <c r="C314" s="175" t="s">
        <v>424</v>
      </c>
      <c r="F314" s="161"/>
      <c r="K314" s="176"/>
    </row>
    <row r="315" spans="2:11" x14ac:dyDescent="0.3">
      <c r="B315" s="179">
        <v>73702</v>
      </c>
      <c r="C315" s="175" t="s">
        <v>425</v>
      </c>
      <c r="F315" s="161"/>
      <c r="K315" s="176"/>
    </row>
    <row r="316" spans="2:11" x14ac:dyDescent="0.3">
      <c r="B316" s="179">
        <v>78138</v>
      </c>
      <c r="C316" s="175" t="s">
        <v>426</v>
      </c>
      <c r="F316" s="161"/>
      <c r="K316" s="176"/>
    </row>
    <row r="317" spans="2:11" x14ac:dyDescent="0.3">
      <c r="B317" s="179">
        <v>78140</v>
      </c>
      <c r="C317" s="175" t="s">
        <v>427</v>
      </c>
      <c r="F317" s="161"/>
      <c r="K317" s="176"/>
    </row>
    <row r="318" spans="2:11" x14ac:dyDescent="0.3">
      <c r="B318" s="179">
        <v>88471</v>
      </c>
      <c r="C318" s="175" t="s">
        <v>428</v>
      </c>
      <c r="F318" s="161"/>
      <c r="K318" s="176"/>
    </row>
    <row r="319" spans="2:11" x14ac:dyDescent="0.3">
      <c r="B319" s="179">
        <v>89268</v>
      </c>
      <c r="C319" s="175" t="s">
        <v>429</v>
      </c>
      <c r="F319" s="161"/>
      <c r="K319" s="176"/>
    </row>
    <row r="320" spans="2:11" x14ac:dyDescent="0.3">
      <c r="B320" s="179">
        <v>89365</v>
      </c>
      <c r="C320" s="175" t="s">
        <v>430</v>
      </c>
      <c r="F320" s="161"/>
      <c r="K320" s="176"/>
    </row>
    <row r="321" spans="2:11" x14ac:dyDescent="0.3">
      <c r="B321" s="179">
        <v>89704</v>
      </c>
      <c r="C321" s="175" t="s">
        <v>431</v>
      </c>
      <c r="F321" s="161"/>
      <c r="K321" s="176"/>
    </row>
    <row r="322" spans="2:11" x14ac:dyDescent="0.3">
      <c r="B322" s="179">
        <v>90078</v>
      </c>
      <c r="C322" s="175" t="s">
        <v>432</v>
      </c>
      <c r="F322" s="161"/>
      <c r="K322" s="176"/>
    </row>
    <row r="323" spans="2:11" x14ac:dyDescent="0.3">
      <c r="B323" s="179">
        <v>100955</v>
      </c>
      <c r="C323" s="175" t="s">
        <v>433</v>
      </c>
      <c r="F323" s="161"/>
      <c r="K323" s="176"/>
    </row>
    <row r="324" spans="2:11" x14ac:dyDescent="0.3">
      <c r="B324" s="179">
        <v>101012</v>
      </c>
      <c r="C324" s="175" t="s">
        <v>434</v>
      </c>
      <c r="F324" s="161"/>
      <c r="K324" s="176"/>
    </row>
    <row r="325" spans="2:11" x14ac:dyDescent="0.3">
      <c r="B325" s="179">
        <v>101428</v>
      </c>
      <c r="C325" s="175" t="s">
        <v>435</v>
      </c>
      <c r="F325" s="161"/>
      <c r="K325" s="176"/>
    </row>
    <row r="326" spans="2:11" x14ac:dyDescent="0.3">
      <c r="B326" s="179">
        <v>101512</v>
      </c>
      <c r="C326" s="175" t="s">
        <v>436</v>
      </c>
      <c r="F326" s="161"/>
      <c r="K326" s="176"/>
    </row>
    <row r="327" spans="2:11" x14ac:dyDescent="0.3">
      <c r="B327" s="179">
        <v>2214</v>
      </c>
      <c r="C327" s="175" t="s">
        <v>437</v>
      </c>
      <c r="F327" s="161"/>
      <c r="K327" s="176"/>
    </row>
    <row r="328" spans="2:11" x14ac:dyDescent="0.3">
      <c r="B328" s="179">
        <v>2970</v>
      </c>
      <c r="C328" s="175" t="s">
        <v>438</v>
      </c>
      <c r="F328" s="161"/>
      <c r="K328" s="176"/>
    </row>
    <row r="329" spans="2:11" x14ac:dyDescent="0.3">
      <c r="B329" s="179">
        <v>5219</v>
      </c>
      <c r="C329" s="175" t="s">
        <v>439</v>
      </c>
      <c r="F329" s="161"/>
      <c r="K329" s="176"/>
    </row>
    <row r="330" spans="2:11" x14ac:dyDescent="0.3">
      <c r="B330" s="179">
        <v>6238</v>
      </c>
      <c r="C330" s="175" t="s">
        <v>440</v>
      </c>
      <c r="F330" s="161"/>
      <c r="K330" s="176"/>
    </row>
    <row r="331" spans="2:11" x14ac:dyDescent="0.3">
      <c r="B331" s="179">
        <v>6465</v>
      </c>
      <c r="C331" s="175" t="s">
        <v>441</v>
      </c>
      <c r="F331" s="161"/>
      <c r="K331" s="176"/>
    </row>
    <row r="332" spans="2:11" x14ac:dyDescent="0.3">
      <c r="B332" s="179">
        <v>7469</v>
      </c>
      <c r="C332" s="175" t="s">
        <v>442</v>
      </c>
      <c r="F332" s="161"/>
      <c r="K332" s="176"/>
    </row>
    <row r="333" spans="2:11" x14ac:dyDescent="0.3">
      <c r="B333" s="179">
        <v>8731</v>
      </c>
      <c r="C333" s="175" t="s">
        <v>443</v>
      </c>
      <c r="F333" s="161"/>
      <c r="K333" s="176"/>
    </row>
    <row r="334" spans="2:11" x14ac:dyDescent="0.3">
      <c r="B334" s="179">
        <v>9692</v>
      </c>
      <c r="C334" s="175" t="s">
        <v>444</v>
      </c>
      <c r="F334" s="161"/>
      <c r="K334" s="176"/>
    </row>
    <row r="335" spans="2:11" x14ac:dyDescent="0.3">
      <c r="B335" s="179">
        <v>20617</v>
      </c>
      <c r="C335" s="175" t="s">
        <v>445</v>
      </c>
      <c r="F335" s="161"/>
      <c r="K335" s="176"/>
    </row>
    <row r="336" spans="2:11" x14ac:dyDescent="0.3">
      <c r="B336" s="179">
        <v>37719</v>
      </c>
      <c r="C336" s="175" t="s">
        <v>446</v>
      </c>
      <c r="F336" s="161"/>
      <c r="K336" s="176"/>
    </row>
    <row r="337" spans="2:11" x14ac:dyDescent="0.3">
      <c r="B337" s="179">
        <v>38272</v>
      </c>
      <c r="C337" s="175" t="s">
        <v>447</v>
      </c>
      <c r="F337" s="161"/>
      <c r="K337" s="176"/>
    </row>
    <row r="338" spans="2:11" x14ac:dyDescent="0.3">
      <c r="B338" s="179">
        <v>73635</v>
      </c>
      <c r="C338" s="175" t="s">
        <v>448</v>
      </c>
      <c r="F338" s="161"/>
      <c r="K338" s="176"/>
    </row>
    <row r="339" spans="2:11" x14ac:dyDescent="0.3">
      <c r="B339" s="179">
        <v>86313</v>
      </c>
      <c r="C339" s="175" t="s">
        <v>449</v>
      </c>
      <c r="F339" s="161"/>
      <c r="K339" s="176"/>
    </row>
    <row r="340" spans="2:11" x14ac:dyDescent="0.3">
      <c r="B340" s="179">
        <v>86884</v>
      </c>
      <c r="C340" s="175" t="s">
        <v>450</v>
      </c>
      <c r="F340" s="161"/>
      <c r="K340" s="176"/>
    </row>
    <row r="341" spans="2:11" x14ac:dyDescent="0.3">
      <c r="B341" s="179">
        <v>87688</v>
      </c>
      <c r="C341" s="175" t="s">
        <v>451</v>
      </c>
      <c r="F341" s="161"/>
      <c r="K341" s="176"/>
    </row>
    <row r="342" spans="2:11" x14ac:dyDescent="0.3">
      <c r="B342" s="179">
        <v>88674</v>
      </c>
      <c r="C342" s="175" t="s">
        <v>452</v>
      </c>
      <c r="F342" s="161"/>
      <c r="K342" s="176"/>
    </row>
    <row r="343" spans="2:11" x14ac:dyDescent="0.3">
      <c r="B343" s="179">
        <v>91022</v>
      </c>
      <c r="C343" s="175" t="s">
        <v>453</v>
      </c>
      <c r="F343" s="161"/>
      <c r="K343" s="176"/>
    </row>
    <row r="344" spans="2:11" x14ac:dyDescent="0.3">
      <c r="B344" s="179">
        <v>100837</v>
      </c>
      <c r="C344" s="175" t="s">
        <v>454</v>
      </c>
      <c r="F344" s="161"/>
      <c r="K344" s="176"/>
    </row>
    <row r="345" spans="2:11" x14ac:dyDescent="0.3">
      <c r="B345" s="179">
        <v>100849</v>
      </c>
      <c r="C345" s="175" t="s">
        <v>455</v>
      </c>
      <c r="F345" s="161"/>
      <c r="K345" s="176"/>
    </row>
    <row r="346" spans="2:11" x14ac:dyDescent="0.3">
      <c r="B346" s="179">
        <v>6257</v>
      </c>
      <c r="C346" s="175" t="s">
        <v>456</v>
      </c>
      <c r="F346" s="161"/>
      <c r="K346" s="176"/>
    </row>
    <row r="347" spans="2:11" x14ac:dyDescent="0.3">
      <c r="B347" s="179">
        <v>31097</v>
      </c>
      <c r="C347" s="175" t="s">
        <v>457</v>
      </c>
      <c r="F347" s="161"/>
      <c r="K347" s="176"/>
    </row>
    <row r="348" spans="2:11" x14ac:dyDescent="0.3">
      <c r="B348" s="179">
        <v>38762</v>
      </c>
      <c r="C348" s="175" t="s">
        <v>458</v>
      </c>
      <c r="F348" s="161"/>
      <c r="K348" s="176"/>
    </row>
    <row r="349" spans="2:11" x14ac:dyDescent="0.3">
      <c r="B349" s="179">
        <v>42167</v>
      </c>
      <c r="C349" s="175" t="s">
        <v>459</v>
      </c>
      <c r="F349" s="161"/>
      <c r="K349" s="176"/>
    </row>
    <row r="350" spans="2:11" x14ac:dyDescent="0.3">
      <c r="B350" s="179">
        <v>74340</v>
      </c>
      <c r="C350" s="175" t="s">
        <v>460</v>
      </c>
      <c r="F350" s="161"/>
      <c r="K350" s="176"/>
    </row>
    <row r="351" spans="2:11" x14ac:dyDescent="0.3">
      <c r="B351" s="179">
        <v>75649</v>
      </c>
      <c r="C351" s="175" t="s">
        <v>461</v>
      </c>
      <c r="F351" s="161"/>
      <c r="K351" s="176"/>
    </row>
    <row r="352" spans="2:11" x14ac:dyDescent="0.3">
      <c r="B352" s="179">
        <v>90529</v>
      </c>
      <c r="C352" s="175" t="s">
        <v>462</v>
      </c>
      <c r="F352" s="161"/>
      <c r="K352" s="176"/>
    </row>
    <row r="353" spans="2:11" x14ac:dyDescent="0.3">
      <c r="B353" s="179">
        <v>2464</v>
      </c>
      <c r="C353" s="175" t="s">
        <v>463</v>
      </c>
      <c r="F353" s="161"/>
      <c r="K353" s="176"/>
    </row>
    <row r="354" spans="2:11" x14ac:dyDescent="0.3">
      <c r="B354" s="179">
        <v>76419</v>
      </c>
      <c r="C354" s="175" t="s">
        <v>464</v>
      </c>
      <c r="F354" s="161"/>
      <c r="K354" s="176"/>
    </row>
    <row r="355" spans="2:11" x14ac:dyDescent="0.3">
      <c r="B355" s="179">
        <v>2090</v>
      </c>
      <c r="C355" s="175" t="s">
        <v>465</v>
      </c>
      <c r="F355" s="161"/>
      <c r="K355" s="176"/>
    </row>
    <row r="356" spans="2:11" x14ac:dyDescent="0.3">
      <c r="B356" s="179">
        <v>2161</v>
      </c>
      <c r="C356" s="175" t="s">
        <v>466</v>
      </c>
      <c r="F356" s="161"/>
      <c r="K356" s="176"/>
    </row>
    <row r="357" spans="2:11" x14ac:dyDescent="0.3">
      <c r="B357" s="179">
        <v>3840</v>
      </c>
      <c r="C357" s="175" t="s">
        <v>467</v>
      </c>
      <c r="F357" s="161"/>
      <c r="K357" s="176"/>
    </row>
    <row r="358" spans="2:11" x14ac:dyDescent="0.3">
      <c r="B358" s="179">
        <v>3911</v>
      </c>
      <c r="C358" s="175" t="s">
        <v>468</v>
      </c>
      <c r="F358" s="161"/>
      <c r="K358" s="176"/>
    </row>
    <row r="359" spans="2:11" x14ac:dyDescent="0.3">
      <c r="B359" s="179">
        <v>4022</v>
      </c>
      <c r="C359" s="175" t="s">
        <v>469</v>
      </c>
      <c r="F359" s="161"/>
      <c r="K359" s="176"/>
    </row>
    <row r="360" spans="2:11" x14ac:dyDescent="0.3">
      <c r="B360" s="179">
        <v>4187</v>
      </c>
      <c r="C360" s="175" t="s">
        <v>470</v>
      </c>
      <c r="F360" s="161"/>
      <c r="K360" s="176"/>
    </row>
    <row r="361" spans="2:11" x14ac:dyDescent="0.3">
      <c r="B361" s="179">
        <v>978</v>
      </c>
      <c r="C361" s="175" t="s">
        <v>471</v>
      </c>
      <c r="F361" s="161"/>
      <c r="K361" s="176"/>
    </row>
    <row r="362" spans="2:11" x14ac:dyDescent="0.3">
      <c r="B362" s="179">
        <v>2137</v>
      </c>
      <c r="C362" s="175" t="s">
        <v>472</v>
      </c>
      <c r="F362" s="161"/>
      <c r="K362" s="176"/>
    </row>
    <row r="363" spans="2:11" x14ac:dyDescent="0.3">
      <c r="B363" s="179">
        <v>2553</v>
      </c>
      <c r="C363" s="175" t="s">
        <v>473</v>
      </c>
      <c r="F363" s="161"/>
      <c r="K363" s="176"/>
    </row>
    <row r="364" spans="2:11" x14ac:dyDescent="0.3">
      <c r="B364" s="179">
        <v>2911</v>
      </c>
      <c r="C364" s="175" t="s">
        <v>474</v>
      </c>
      <c r="F364" s="161"/>
      <c r="K364" s="176"/>
    </row>
    <row r="365" spans="2:11" x14ac:dyDescent="0.3">
      <c r="B365" s="179">
        <v>4095</v>
      </c>
      <c r="C365" s="175" t="s">
        <v>475</v>
      </c>
      <c r="F365" s="161"/>
      <c r="K365" s="176"/>
    </row>
    <row r="366" spans="2:11" x14ac:dyDescent="0.3">
      <c r="B366" s="179">
        <v>8322</v>
      </c>
      <c r="C366" s="175" t="s">
        <v>476</v>
      </c>
      <c r="F366" s="161"/>
      <c r="K366" s="176"/>
    </row>
    <row r="367" spans="2:11" x14ac:dyDescent="0.3">
      <c r="B367" s="179">
        <v>4493</v>
      </c>
      <c r="C367" s="175" t="s">
        <v>477</v>
      </c>
      <c r="F367" s="161"/>
      <c r="K367" s="176"/>
    </row>
    <row r="368" spans="2:11" x14ac:dyDescent="0.3">
      <c r="B368" s="179">
        <v>78897</v>
      </c>
      <c r="C368" s="175" t="s">
        <v>478</v>
      </c>
      <c r="F368" s="161"/>
      <c r="K368" s="176"/>
    </row>
    <row r="369" spans="2:11" x14ac:dyDescent="0.3">
      <c r="B369" s="179">
        <v>90259</v>
      </c>
      <c r="C369" s="175" t="s">
        <v>479</v>
      </c>
      <c r="F369" s="161"/>
      <c r="K369" s="176"/>
    </row>
    <row r="370" spans="2:11" x14ac:dyDescent="0.3">
      <c r="B370" s="179">
        <v>91236</v>
      </c>
      <c r="C370" s="175" t="s">
        <v>480</v>
      </c>
      <c r="F370" s="161"/>
      <c r="K370" s="176"/>
    </row>
    <row r="371" spans="2:11" x14ac:dyDescent="0.3">
      <c r="B371" s="179">
        <v>91240</v>
      </c>
      <c r="C371" s="175" t="s">
        <v>481</v>
      </c>
      <c r="F371" s="161"/>
      <c r="K371" s="176"/>
    </row>
    <row r="372" spans="2:11" x14ac:dyDescent="0.3">
      <c r="B372" s="179">
        <v>100846</v>
      </c>
      <c r="C372" s="175" t="s">
        <v>482</v>
      </c>
      <c r="F372" s="161"/>
      <c r="K372" s="176"/>
    </row>
    <row r="373" spans="2:11" x14ac:dyDescent="0.3">
      <c r="B373" s="179">
        <v>1212</v>
      </c>
      <c r="C373" s="175" t="s">
        <v>483</v>
      </c>
      <c r="F373" s="161"/>
      <c r="K373" s="176"/>
    </row>
    <row r="374" spans="2:11" x14ac:dyDescent="0.3">
      <c r="B374" s="179">
        <v>1407</v>
      </c>
      <c r="C374" s="175" t="s">
        <v>484</v>
      </c>
      <c r="F374" s="161"/>
      <c r="K374" s="176"/>
    </row>
    <row r="375" spans="2:11" x14ac:dyDescent="0.3">
      <c r="B375" s="179">
        <v>2302</v>
      </c>
      <c r="C375" s="175" t="s">
        <v>485</v>
      </c>
      <c r="F375" s="161"/>
      <c r="K375" s="176"/>
    </row>
    <row r="376" spans="2:11" x14ac:dyDescent="0.3">
      <c r="B376" s="179">
        <v>2471</v>
      </c>
      <c r="C376" s="175" t="s">
        <v>486</v>
      </c>
      <c r="F376" s="161"/>
      <c r="K376" s="176"/>
    </row>
    <row r="377" spans="2:11" x14ac:dyDescent="0.3">
      <c r="B377" s="179">
        <v>3378</v>
      </c>
      <c r="C377" s="175" t="s">
        <v>487</v>
      </c>
      <c r="F377" s="161"/>
      <c r="K377" s="176"/>
    </row>
    <row r="378" spans="2:11" x14ac:dyDescent="0.3">
      <c r="B378" s="179">
        <v>5437</v>
      </c>
      <c r="C378" s="175" t="s">
        <v>488</v>
      </c>
      <c r="F378" s="161"/>
      <c r="K378" s="176"/>
    </row>
    <row r="379" spans="2:11" x14ac:dyDescent="0.3">
      <c r="B379" s="179">
        <v>5703</v>
      </c>
      <c r="C379" s="175" t="s">
        <v>489</v>
      </c>
      <c r="F379" s="161"/>
      <c r="K379" s="176"/>
    </row>
    <row r="380" spans="2:11" x14ac:dyDescent="0.3">
      <c r="B380" s="179">
        <v>5807</v>
      </c>
      <c r="C380" s="175" t="s">
        <v>490</v>
      </c>
      <c r="F380" s="161"/>
      <c r="K380" s="176"/>
    </row>
    <row r="381" spans="2:11" x14ac:dyDescent="0.3">
      <c r="B381" s="179">
        <v>5857</v>
      </c>
      <c r="C381" s="175" t="s">
        <v>491</v>
      </c>
      <c r="F381" s="161"/>
      <c r="K381" s="176"/>
    </row>
    <row r="382" spans="2:11" x14ac:dyDescent="0.3">
      <c r="B382" s="179">
        <v>6470</v>
      </c>
      <c r="C382" s="175" t="s">
        <v>492</v>
      </c>
      <c r="F382" s="161"/>
      <c r="K382" s="176"/>
    </row>
    <row r="383" spans="2:11" x14ac:dyDescent="0.3">
      <c r="B383" s="179">
        <v>8881</v>
      </c>
      <c r="C383" s="175" t="s">
        <v>493</v>
      </c>
      <c r="F383" s="161"/>
      <c r="K383" s="176"/>
    </row>
    <row r="384" spans="2:11" x14ac:dyDescent="0.3">
      <c r="B384" s="179">
        <v>50845</v>
      </c>
      <c r="C384" s="175" t="s">
        <v>494</v>
      </c>
      <c r="F384" s="161"/>
      <c r="K384" s="176"/>
    </row>
    <row r="385" spans="2:11" x14ac:dyDescent="0.3">
      <c r="B385" s="179">
        <v>1937</v>
      </c>
      <c r="C385" s="175" t="s">
        <v>495</v>
      </c>
      <c r="F385" s="161"/>
      <c r="K385" s="176"/>
    </row>
    <row r="386" spans="2:11" x14ac:dyDescent="0.3">
      <c r="B386" s="179">
        <v>78153</v>
      </c>
      <c r="C386" s="175" t="s">
        <v>496</v>
      </c>
      <c r="F386" s="161"/>
      <c r="K386" s="176"/>
    </row>
    <row r="387" spans="2:11" x14ac:dyDescent="0.3">
      <c r="B387" s="179">
        <v>100802</v>
      </c>
      <c r="C387" s="175" t="s">
        <v>497</v>
      </c>
      <c r="F387" s="161"/>
      <c r="K387" s="176"/>
    </row>
    <row r="388" spans="2:11" x14ac:dyDescent="0.3">
      <c r="B388" s="179">
        <v>3060</v>
      </c>
      <c r="C388" s="175" t="s">
        <v>498</v>
      </c>
      <c r="F388" s="161"/>
      <c r="K388" s="176"/>
    </row>
    <row r="389" spans="2:11" x14ac:dyDescent="0.3">
      <c r="B389" s="179">
        <v>3157</v>
      </c>
      <c r="C389" s="175" t="s">
        <v>499</v>
      </c>
      <c r="F389" s="161"/>
      <c r="K389" s="176"/>
    </row>
    <row r="390" spans="2:11" x14ac:dyDescent="0.3">
      <c r="B390" s="179">
        <v>4188</v>
      </c>
      <c r="C390" s="175" t="s">
        <v>500</v>
      </c>
      <c r="F390" s="161"/>
      <c r="K390" s="176"/>
    </row>
    <row r="391" spans="2:11" x14ac:dyDescent="0.3">
      <c r="B391" s="179">
        <v>4757</v>
      </c>
      <c r="C391" s="175" t="s">
        <v>501</v>
      </c>
      <c r="F391" s="161"/>
      <c r="K391" s="176"/>
    </row>
    <row r="392" spans="2:11" x14ac:dyDescent="0.3">
      <c r="B392" s="179">
        <v>5031</v>
      </c>
      <c r="C392" s="175" t="s">
        <v>502</v>
      </c>
      <c r="F392" s="161"/>
      <c r="K392" s="176"/>
    </row>
    <row r="393" spans="2:11" x14ac:dyDescent="0.3">
      <c r="B393" s="179">
        <v>10017</v>
      </c>
      <c r="C393" s="175" t="s">
        <v>503</v>
      </c>
      <c r="F393" s="161"/>
      <c r="K393" s="176"/>
    </row>
    <row r="394" spans="2:11" x14ac:dyDescent="0.3">
      <c r="B394" s="179">
        <v>40813</v>
      </c>
      <c r="C394" s="175" t="s">
        <v>504</v>
      </c>
      <c r="F394" s="161"/>
      <c r="K394" s="176"/>
    </row>
    <row r="395" spans="2:11" x14ac:dyDescent="0.3">
      <c r="B395" s="179">
        <v>74279</v>
      </c>
      <c r="C395" s="175" t="s">
        <v>505</v>
      </c>
      <c r="F395" s="161"/>
      <c r="K395" s="176"/>
    </row>
    <row r="396" spans="2:11" x14ac:dyDescent="0.3">
      <c r="B396" s="179">
        <v>1157</v>
      </c>
      <c r="C396" s="175" t="s">
        <v>506</v>
      </c>
      <c r="F396" s="161"/>
      <c r="K396" s="176"/>
    </row>
    <row r="397" spans="2:11" x14ac:dyDescent="0.3">
      <c r="B397" s="179">
        <v>1726</v>
      </c>
      <c r="C397" s="175" t="s">
        <v>507</v>
      </c>
      <c r="F397" s="161"/>
      <c r="K397" s="176"/>
    </row>
    <row r="398" spans="2:11" x14ac:dyDescent="0.3">
      <c r="B398" s="179">
        <v>1750</v>
      </c>
      <c r="C398" s="175" t="s">
        <v>508</v>
      </c>
      <c r="F398" s="161"/>
      <c r="K398" s="176"/>
    </row>
    <row r="399" spans="2:11" x14ac:dyDescent="0.3">
      <c r="B399" s="179">
        <v>1771</v>
      </c>
      <c r="C399" s="175" t="s">
        <v>509</v>
      </c>
      <c r="F399" s="161"/>
      <c r="K399" s="176"/>
    </row>
    <row r="400" spans="2:11" x14ac:dyDescent="0.3">
      <c r="B400" s="179">
        <v>2181</v>
      </c>
      <c r="C400" s="175" t="s">
        <v>510</v>
      </c>
      <c r="F400" s="161"/>
      <c r="K400" s="176"/>
    </row>
    <row r="401" spans="2:11" x14ac:dyDescent="0.3">
      <c r="B401" s="179">
        <v>3166</v>
      </c>
      <c r="C401" s="175" t="s">
        <v>511</v>
      </c>
      <c r="F401" s="161"/>
      <c r="K401" s="176"/>
    </row>
    <row r="402" spans="2:11" x14ac:dyDescent="0.3">
      <c r="B402" s="179">
        <v>3879</v>
      </c>
      <c r="C402" s="175" t="s">
        <v>512</v>
      </c>
      <c r="F402" s="161"/>
      <c r="K402" s="176"/>
    </row>
    <row r="403" spans="2:11" x14ac:dyDescent="0.3">
      <c r="B403" s="179">
        <v>4182</v>
      </c>
      <c r="C403" s="175" t="s">
        <v>513</v>
      </c>
      <c r="F403" s="161"/>
      <c r="K403" s="176"/>
    </row>
    <row r="404" spans="2:11" x14ac:dyDescent="0.3">
      <c r="B404" s="179">
        <v>4494</v>
      </c>
      <c r="C404" s="175" t="s">
        <v>514</v>
      </c>
      <c r="F404" s="161"/>
      <c r="K404" s="176"/>
    </row>
    <row r="405" spans="2:11" x14ac:dyDescent="0.3">
      <c r="B405" s="179">
        <v>4983</v>
      </c>
      <c r="C405" s="175" t="s">
        <v>515</v>
      </c>
      <c r="F405" s="161"/>
      <c r="K405" s="176"/>
    </row>
    <row r="406" spans="2:11" x14ac:dyDescent="0.3">
      <c r="B406" s="179">
        <v>6350</v>
      </c>
      <c r="C406" s="175" t="s">
        <v>516</v>
      </c>
      <c r="F406" s="161"/>
      <c r="K406" s="176"/>
    </row>
    <row r="407" spans="2:11" x14ac:dyDescent="0.3">
      <c r="B407" s="179">
        <v>12715</v>
      </c>
      <c r="C407" s="175" t="s">
        <v>517</v>
      </c>
      <c r="F407" s="161"/>
      <c r="K407" s="176"/>
    </row>
    <row r="408" spans="2:11" x14ac:dyDescent="0.3">
      <c r="B408" s="179">
        <v>25067</v>
      </c>
      <c r="C408" s="175" t="s">
        <v>518</v>
      </c>
      <c r="F408" s="161"/>
      <c r="K408" s="176"/>
    </row>
    <row r="409" spans="2:11" x14ac:dyDescent="0.3">
      <c r="B409" s="179">
        <v>31176</v>
      </c>
      <c r="C409" s="175" t="s">
        <v>519</v>
      </c>
      <c r="F409" s="161"/>
      <c r="K409" s="176"/>
    </row>
    <row r="410" spans="2:11" x14ac:dyDescent="0.3">
      <c r="B410" s="179">
        <v>31179</v>
      </c>
      <c r="C410" s="175" t="s">
        <v>520</v>
      </c>
      <c r="F410" s="161"/>
      <c r="K410" s="176"/>
    </row>
    <row r="411" spans="2:11" x14ac:dyDescent="0.3">
      <c r="B411" s="179">
        <v>31380</v>
      </c>
      <c r="C411" s="175" t="s">
        <v>521</v>
      </c>
      <c r="F411" s="161"/>
      <c r="K411" s="176"/>
    </row>
    <row r="412" spans="2:11" x14ac:dyDescent="0.3">
      <c r="B412" s="179">
        <v>33932</v>
      </c>
      <c r="C412" s="175" t="s">
        <v>522</v>
      </c>
      <c r="F412" s="161"/>
      <c r="K412" s="176"/>
    </row>
    <row r="413" spans="2:11" x14ac:dyDescent="0.3">
      <c r="B413" s="179">
        <v>37500</v>
      </c>
      <c r="C413" s="175" t="s">
        <v>523</v>
      </c>
      <c r="F413" s="161"/>
      <c r="K413" s="176"/>
    </row>
    <row r="414" spans="2:11" x14ac:dyDescent="0.3">
      <c r="B414" s="179">
        <v>40309</v>
      </c>
      <c r="C414" s="175" t="s">
        <v>524</v>
      </c>
      <c r="F414" s="161"/>
      <c r="K414" s="176"/>
    </row>
    <row r="415" spans="2:11" x14ac:dyDescent="0.3">
      <c r="B415" s="179">
        <v>40339</v>
      </c>
      <c r="C415" s="175" t="s">
        <v>525</v>
      </c>
      <c r="F415" s="161"/>
      <c r="K415" s="176"/>
    </row>
    <row r="416" spans="2:11" x14ac:dyDescent="0.3">
      <c r="B416" s="179">
        <v>41643</v>
      </c>
      <c r="C416" s="175" t="s">
        <v>526</v>
      </c>
      <c r="F416" s="161"/>
      <c r="K416" s="176"/>
    </row>
    <row r="417" spans="2:11" x14ac:dyDescent="0.3">
      <c r="B417" s="179">
        <v>51369</v>
      </c>
      <c r="C417" s="175" t="s">
        <v>527</v>
      </c>
      <c r="F417" s="161"/>
      <c r="K417" s="176"/>
    </row>
    <row r="418" spans="2:11" x14ac:dyDescent="0.3">
      <c r="B418" s="179">
        <v>56402</v>
      </c>
      <c r="C418" s="175" t="s">
        <v>528</v>
      </c>
      <c r="F418" s="161"/>
      <c r="K418" s="176"/>
    </row>
    <row r="419" spans="2:11" x14ac:dyDescent="0.3">
      <c r="B419" s="179">
        <v>67673</v>
      </c>
      <c r="C419" s="175" t="s">
        <v>529</v>
      </c>
      <c r="F419" s="161"/>
      <c r="K419" s="176"/>
    </row>
    <row r="420" spans="2:11" x14ac:dyDescent="0.3">
      <c r="B420" s="179">
        <v>70378</v>
      </c>
      <c r="C420" s="175" t="s">
        <v>530</v>
      </c>
      <c r="F420" s="161"/>
      <c r="K420" s="176"/>
    </row>
    <row r="421" spans="2:11" x14ac:dyDescent="0.3">
      <c r="B421" s="179">
        <v>71210</v>
      </c>
      <c r="C421" s="175" t="s">
        <v>531</v>
      </c>
      <c r="F421" s="161"/>
      <c r="K421" s="176"/>
    </row>
    <row r="422" spans="2:11" x14ac:dyDescent="0.3">
      <c r="B422" s="179">
        <v>74123</v>
      </c>
      <c r="C422" s="175" t="s">
        <v>532</v>
      </c>
      <c r="F422" s="161"/>
      <c r="K422" s="176"/>
    </row>
    <row r="423" spans="2:11" x14ac:dyDescent="0.3">
      <c r="B423" s="179">
        <v>79402</v>
      </c>
      <c r="C423" s="175" t="s">
        <v>533</v>
      </c>
      <c r="F423" s="161"/>
      <c r="K423" s="176"/>
    </row>
    <row r="424" spans="2:11" x14ac:dyDescent="0.3">
      <c r="B424" s="179">
        <v>79889</v>
      </c>
      <c r="C424" s="175" t="s">
        <v>534</v>
      </c>
      <c r="F424" s="161"/>
      <c r="K424" s="176"/>
    </row>
    <row r="425" spans="2:11" x14ac:dyDescent="0.3">
      <c r="B425" s="179">
        <v>86783</v>
      </c>
      <c r="C425" s="175" t="s">
        <v>535</v>
      </c>
      <c r="F425" s="161"/>
      <c r="K425" s="176"/>
    </row>
    <row r="426" spans="2:11" x14ac:dyDescent="0.3">
      <c r="B426" s="179">
        <v>2713</v>
      </c>
      <c r="C426" s="175" t="s">
        <v>536</v>
      </c>
      <c r="F426" s="161"/>
      <c r="K426" s="176"/>
    </row>
    <row r="427" spans="2:11" x14ac:dyDescent="0.3">
      <c r="B427" s="179">
        <v>4181</v>
      </c>
      <c r="C427" s="175" t="s">
        <v>537</v>
      </c>
      <c r="F427" s="161"/>
      <c r="K427" s="176"/>
    </row>
    <row r="428" spans="2:11" x14ac:dyDescent="0.3">
      <c r="B428" s="179">
        <v>5275</v>
      </c>
      <c r="C428" s="175" t="s">
        <v>538</v>
      </c>
      <c r="F428" s="161"/>
      <c r="K428" s="176"/>
    </row>
    <row r="429" spans="2:11" x14ac:dyDescent="0.3">
      <c r="B429" s="179">
        <v>5331</v>
      </c>
      <c r="C429" s="175" t="s">
        <v>539</v>
      </c>
      <c r="F429" s="161"/>
      <c r="K429" s="176"/>
    </row>
    <row r="430" spans="2:11" x14ac:dyDescent="0.3">
      <c r="B430" s="179">
        <v>6077</v>
      </c>
      <c r="C430" s="175" t="s">
        <v>540</v>
      </c>
      <c r="F430" s="161"/>
      <c r="K430" s="176"/>
    </row>
    <row r="431" spans="2:11" x14ac:dyDescent="0.3">
      <c r="B431" s="179">
        <v>11992</v>
      </c>
      <c r="C431" s="175" t="s">
        <v>541</v>
      </c>
      <c r="F431" s="161"/>
      <c r="K431" s="176"/>
    </row>
    <row r="432" spans="2:11" x14ac:dyDescent="0.3">
      <c r="B432" s="179">
        <v>19213</v>
      </c>
      <c r="C432" s="175" t="s">
        <v>542</v>
      </c>
      <c r="F432" s="161"/>
      <c r="K432" s="176"/>
    </row>
    <row r="433" spans="2:11" x14ac:dyDescent="0.3">
      <c r="B433" s="179">
        <v>22006</v>
      </c>
      <c r="C433" s="175" t="s">
        <v>543</v>
      </c>
      <c r="F433" s="161"/>
      <c r="K433" s="176"/>
    </row>
    <row r="434" spans="2:11" x14ac:dyDescent="0.3">
      <c r="B434" s="179">
        <v>24625</v>
      </c>
      <c r="C434" s="175" t="s">
        <v>544</v>
      </c>
      <c r="F434" s="161"/>
      <c r="K434" s="176"/>
    </row>
    <row r="435" spans="2:11" x14ac:dyDescent="0.3">
      <c r="B435" s="179">
        <v>24654</v>
      </c>
      <c r="C435" s="175" t="s">
        <v>545</v>
      </c>
      <c r="F435" s="161"/>
      <c r="K435" s="176"/>
    </row>
    <row r="436" spans="2:11" x14ac:dyDescent="0.3">
      <c r="B436" s="179">
        <v>59683</v>
      </c>
      <c r="C436" s="175" t="s">
        <v>546</v>
      </c>
      <c r="F436" s="161"/>
      <c r="K436" s="176"/>
    </row>
    <row r="437" spans="2:11" x14ac:dyDescent="0.3">
      <c r="B437" s="179">
        <v>60001</v>
      </c>
      <c r="C437" s="175" t="s">
        <v>547</v>
      </c>
      <c r="F437" s="161"/>
      <c r="K437" s="176"/>
    </row>
    <row r="438" spans="2:11" x14ac:dyDescent="0.3">
      <c r="B438" s="179">
        <v>80425</v>
      </c>
      <c r="C438" s="175" t="s">
        <v>548</v>
      </c>
      <c r="F438" s="161"/>
      <c r="K438" s="176"/>
    </row>
    <row r="439" spans="2:11" x14ac:dyDescent="0.3">
      <c r="B439" s="179">
        <v>86499</v>
      </c>
      <c r="C439" s="175" t="s">
        <v>549</v>
      </c>
      <c r="F439" s="161"/>
      <c r="K439" s="176"/>
    </row>
    <row r="440" spans="2:11" x14ac:dyDescent="0.3">
      <c r="B440" s="179">
        <v>3300</v>
      </c>
      <c r="C440" s="175" t="s">
        <v>550</v>
      </c>
      <c r="F440" s="161"/>
      <c r="K440" s="176"/>
    </row>
    <row r="441" spans="2:11" x14ac:dyDescent="0.3">
      <c r="B441" s="179">
        <v>6410</v>
      </c>
      <c r="C441" s="175" t="s">
        <v>551</v>
      </c>
      <c r="F441" s="161"/>
      <c r="K441" s="176"/>
    </row>
    <row r="442" spans="2:11" x14ac:dyDescent="0.3">
      <c r="B442" s="179">
        <v>1782</v>
      </c>
      <c r="C442" s="175" t="s">
        <v>552</v>
      </c>
      <c r="F442" s="161"/>
      <c r="K442" s="176"/>
    </row>
    <row r="443" spans="2:11" x14ac:dyDescent="0.3">
      <c r="B443" s="179">
        <v>2076</v>
      </c>
      <c r="C443" s="175" t="s">
        <v>553</v>
      </c>
      <c r="F443" s="161"/>
      <c r="K443" s="176"/>
    </row>
    <row r="444" spans="2:11" x14ac:dyDescent="0.3">
      <c r="B444" s="179">
        <v>2470</v>
      </c>
      <c r="C444" s="175" t="s">
        <v>554</v>
      </c>
      <c r="F444" s="161"/>
      <c r="K444" s="176"/>
    </row>
    <row r="445" spans="2:11" x14ac:dyDescent="0.3">
      <c r="B445" s="179">
        <v>2508</v>
      </c>
      <c r="C445" s="175" t="s">
        <v>555</v>
      </c>
      <c r="F445" s="161"/>
      <c r="K445" s="176"/>
    </row>
    <row r="446" spans="2:11" x14ac:dyDescent="0.3">
      <c r="B446" s="179">
        <v>2719</v>
      </c>
      <c r="C446" s="175" t="s">
        <v>556</v>
      </c>
      <c r="F446" s="161"/>
      <c r="K446" s="176"/>
    </row>
    <row r="447" spans="2:11" x14ac:dyDescent="0.3">
      <c r="B447" s="179">
        <v>2760</v>
      </c>
      <c r="C447" s="175" t="s">
        <v>557</v>
      </c>
      <c r="F447" s="161"/>
      <c r="K447" s="176"/>
    </row>
    <row r="448" spans="2:11" x14ac:dyDescent="0.3">
      <c r="B448" s="179">
        <v>2902</v>
      </c>
      <c r="C448" s="175" t="s">
        <v>558</v>
      </c>
      <c r="F448" s="161"/>
      <c r="K448" s="176"/>
    </row>
    <row r="449" spans="2:11" x14ac:dyDescent="0.3">
      <c r="B449" s="179">
        <v>2942</v>
      </c>
      <c r="C449" s="175" t="s">
        <v>559</v>
      </c>
      <c r="F449" s="161"/>
      <c r="K449" s="176"/>
    </row>
    <row r="450" spans="2:11" x14ac:dyDescent="0.3">
      <c r="B450" s="179">
        <v>2943</v>
      </c>
      <c r="C450" s="175" t="s">
        <v>560</v>
      </c>
      <c r="F450" s="161"/>
      <c r="K450" s="176"/>
    </row>
    <row r="451" spans="2:11" x14ac:dyDescent="0.3">
      <c r="B451" s="179">
        <v>2995</v>
      </c>
      <c r="C451" s="175" t="s">
        <v>561</v>
      </c>
      <c r="F451" s="161"/>
      <c r="K451" s="176"/>
    </row>
    <row r="452" spans="2:11" x14ac:dyDescent="0.3">
      <c r="B452" s="179">
        <v>3337</v>
      </c>
      <c r="C452" s="175" t="s">
        <v>562</v>
      </c>
      <c r="F452" s="161"/>
      <c r="K452" s="176"/>
    </row>
    <row r="453" spans="2:11" x14ac:dyDescent="0.3">
      <c r="B453" s="179">
        <v>4004</v>
      </c>
      <c r="C453" s="175" t="s">
        <v>563</v>
      </c>
      <c r="F453" s="161"/>
      <c r="K453" s="176"/>
    </row>
    <row r="454" spans="2:11" x14ac:dyDescent="0.3">
      <c r="B454" s="179">
        <v>4116</v>
      </c>
      <c r="C454" s="175" t="s">
        <v>564</v>
      </c>
      <c r="F454" s="161"/>
      <c r="K454" s="176"/>
    </row>
    <row r="455" spans="2:11" x14ac:dyDescent="0.3">
      <c r="B455" s="179">
        <v>4558</v>
      </c>
      <c r="C455" s="175" t="s">
        <v>565</v>
      </c>
      <c r="F455" s="161"/>
      <c r="K455" s="176"/>
    </row>
    <row r="456" spans="2:11" x14ac:dyDescent="0.3">
      <c r="B456" s="179">
        <v>4618</v>
      </c>
      <c r="C456" s="175" t="s">
        <v>566</v>
      </c>
      <c r="F456" s="161"/>
      <c r="K456" s="176"/>
    </row>
    <row r="457" spans="2:11" x14ac:dyDescent="0.3">
      <c r="B457" s="179">
        <v>4619</v>
      </c>
      <c r="C457" s="175" t="s">
        <v>567</v>
      </c>
      <c r="F457" s="161"/>
      <c r="K457" s="176"/>
    </row>
    <row r="458" spans="2:11" x14ac:dyDescent="0.3">
      <c r="B458" s="179">
        <v>4699</v>
      </c>
      <c r="C458" s="175" t="s">
        <v>568</v>
      </c>
      <c r="F458" s="161"/>
      <c r="K458" s="176"/>
    </row>
    <row r="459" spans="2:11" x14ac:dyDescent="0.3">
      <c r="B459" s="179">
        <v>5049</v>
      </c>
      <c r="C459" s="175" t="s">
        <v>569</v>
      </c>
      <c r="F459" s="161"/>
      <c r="K459" s="176"/>
    </row>
    <row r="460" spans="2:11" x14ac:dyDescent="0.3">
      <c r="B460" s="179">
        <v>5168</v>
      </c>
      <c r="C460" s="175" t="s">
        <v>570</v>
      </c>
      <c r="F460" s="161"/>
      <c r="K460" s="176"/>
    </row>
    <row r="461" spans="2:11" x14ac:dyDescent="0.3">
      <c r="B461" s="179">
        <v>6153</v>
      </c>
      <c r="C461" s="175" t="s">
        <v>571</v>
      </c>
      <c r="F461" s="161"/>
      <c r="K461" s="176"/>
    </row>
    <row r="462" spans="2:11" x14ac:dyDescent="0.3">
      <c r="B462" s="179">
        <v>7642</v>
      </c>
      <c r="C462" s="175" t="s">
        <v>572</v>
      </c>
      <c r="F462" s="161"/>
      <c r="K462" s="176"/>
    </row>
    <row r="463" spans="2:11" x14ac:dyDescent="0.3">
      <c r="B463" s="179">
        <v>10007</v>
      </c>
      <c r="C463" s="175" t="s">
        <v>573</v>
      </c>
      <c r="F463" s="161"/>
      <c r="K463" s="176"/>
    </row>
    <row r="464" spans="2:11" x14ac:dyDescent="0.3">
      <c r="B464" s="179">
        <v>10031</v>
      </c>
      <c r="C464" s="175" t="s">
        <v>574</v>
      </c>
      <c r="F464" s="161"/>
      <c r="K464" s="176"/>
    </row>
    <row r="465" spans="2:11" x14ac:dyDescent="0.3">
      <c r="B465" s="179">
        <v>25560</v>
      </c>
      <c r="C465" s="175" t="s">
        <v>575</v>
      </c>
      <c r="F465" s="161"/>
      <c r="K465" s="176"/>
    </row>
    <row r="466" spans="2:11" x14ac:dyDescent="0.3">
      <c r="B466" s="179">
        <v>28314</v>
      </c>
      <c r="C466" s="175" t="s">
        <v>576</v>
      </c>
      <c r="F466" s="161"/>
      <c r="K466" s="176"/>
    </row>
    <row r="467" spans="2:11" x14ac:dyDescent="0.3">
      <c r="B467" s="179">
        <v>1514</v>
      </c>
      <c r="C467" s="175" t="s">
        <v>577</v>
      </c>
      <c r="F467" s="161"/>
      <c r="K467" s="176"/>
    </row>
    <row r="468" spans="2:11" x14ac:dyDescent="0.3">
      <c r="B468" s="179">
        <v>1519</v>
      </c>
      <c r="C468" s="175" t="s">
        <v>578</v>
      </c>
      <c r="F468" s="161"/>
      <c r="K468" s="176"/>
    </row>
    <row r="469" spans="2:11" x14ac:dyDescent="0.3">
      <c r="B469" s="179">
        <v>2096</v>
      </c>
      <c r="C469" s="175" t="s">
        <v>579</v>
      </c>
      <c r="F469" s="161"/>
      <c r="K469" s="176"/>
    </row>
    <row r="470" spans="2:11" x14ac:dyDescent="0.3">
      <c r="B470" s="179">
        <v>2507</v>
      </c>
      <c r="C470" s="175" t="s">
        <v>580</v>
      </c>
      <c r="F470" s="161"/>
      <c r="K470" s="176"/>
    </row>
    <row r="471" spans="2:11" x14ac:dyDescent="0.3">
      <c r="B471" s="179">
        <v>2820</v>
      </c>
      <c r="C471" s="175" t="s">
        <v>581</v>
      </c>
      <c r="F471" s="161"/>
      <c r="K471" s="176"/>
    </row>
    <row r="472" spans="2:11" x14ac:dyDescent="0.3">
      <c r="B472" s="179">
        <v>2867</v>
      </c>
      <c r="C472" s="175" t="s">
        <v>582</v>
      </c>
      <c r="F472" s="161"/>
      <c r="K472" s="176"/>
    </row>
    <row r="473" spans="2:11" x14ac:dyDescent="0.3">
      <c r="B473" s="179">
        <v>2868</v>
      </c>
      <c r="C473" s="175" t="s">
        <v>583</v>
      </c>
      <c r="F473" s="161"/>
      <c r="K473" s="176"/>
    </row>
    <row r="474" spans="2:11" x14ac:dyDescent="0.3">
      <c r="B474" s="179">
        <v>2924</v>
      </c>
      <c r="C474" s="175" t="s">
        <v>584</v>
      </c>
      <c r="F474" s="161"/>
      <c r="K474" s="176"/>
    </row>
    <row r="475" spans="2:11" x14ac:dyDescent="0.3">
      <c r="B475" s="179">
        <v>3158</v>
      </c>
      <c r="C475" s="175" t="s">
        <v>585</v>
      </c>
      <c r="F475" s="161"/>
      <c r="K475" s="176"/>
    </row>
    <row r="476" spans="2:11" x14ac:dyDescent="0.3">
      <c r="B476" s="179">
        <v>3180</v>
      </c>
      <c r="C476" s="175" t="s">
        <v>586</v>
      </c>
      <c r="F476" s="161"/>
      <c r="K476" s="176"/>
    </row>
    <row r="477" spans="2:11" x14ac:dyDescent="0.3">
      <c r="B477" s="179">
        <v>3334</v>
      </c>
      <c r="C477" s="175" t="s">
        <v>587</v>
      </c>
      <c r="F477" s="161"/>
      <c r="K477" s="176"/>
    </row>
    <row r="478" spans="2:11" x14ac:dyDescent="0.3">
      <c r="B478" s="179">
        <v>3872</v>
      </c>
      <c r="C478" s="175" t="s">
        <v>588</v>
      </c>
      <c r="F478" s="161"/>
      <c r="K478" s="176"/>
    </row>
    <row r="479" spans="2:11" x14ac:dyDescent="0.3">
      <c r="B479" s="179">
        <v>3914</v>
      </c>
      <c r="C479" s="175" t="s">
        <v>371</v>
      </c>
      <c r="F479" s="161"/>
      <c r="K479" s="176"/>
    </row>
    <row r="480" spans="2:11" x14ac:dyDescent="0.3">
      <c r="B480" s="179">
        <v>4063</v>
      </c>
      <c r="C480" s="175" t="s">
        <v>589</v>
      </c>
      <c r="F480" s="161"/>
      <c r="K480" s="176"/>
    </row>
    <row r="481" spans="2:11" x14ac:dyDescent="0.3">
      <c r="B481" s="179">
        <v>4248</v>
      </c>
      <c r="C481" s="175" t="s">
        <v>590</v>
      </c>
      <c r="F481" s="161"/>
      <c r="K481" s="176"/>
    </row>
    <row r="482" spans="2:11" x14ac:dyDescent="0.3">
      <c r="B482" s="179">
        <v>4346</v>
      </c>
      <c r="C482" s="175" t="s">
        <v>591</v>
      </c>
      <c r="F482" s="161"/>
      <c r="K482" s="176"/>
    </row>
    <row r="483" spans="2:11" x14ac:dyDescent="0.3">
      <c r="B483" s="179">
        <v>4665</v>
      </c>
      <c r="C483" s="175" t="s">
        <v>592</v>
      </c>
      <c r="F483" s="161"/>
      <c r="K483" s="176"/>
    </row>
    <row r="484" spans="2:11" x14ac:dyDescent="0.3">
      <c r="B484" s="179">
        <v>4706</v>
      </c>
      <c r="C484" s="175" t="s">
        <v>593</v>
      </c>
      <c r="F484" s="161"/>
      <c r="K484" s="176"/>
    </row>
    <row r="485" spans="2:11" x14ac:dyDescent="0.3">
      <c r="B485" s="179">
        <v>4767</v>
      </c>
      <c r="C485" s="175" t="s">
        <v>594</v>
      </c>
      <c r="F485" s="161"/>
      <c r="K485" s="176"/>
    </row>
    <row r="486" spans="2:11" x14ac:dyDescent="0.3">
      <c r="B486" s="179">
        <v>5107</v>
      </c>
      <c r="C486" s="175" t="s">
        <v>595</v>
      </c>
      <c r="F486" s="161"/>
      <c r="K486" s="176"/>
    </row>
    <row r="487" spans="2:11" x14ac:dyDescent="0.3">
      <c r="B487" s="179">
        <v>5303</v>
      </c>
      <c r="C487" s="175" t="s">
        <v>596</v>
      </c>
      <c r="F487" s="161"/>
      <c r="K487" s="176"/>
    </row>
    <row r="488" spans="2:11" x14ac:dyDescent="0.3">
      <c r="B488" s="179">
        <v>5490</v>
      </c>
      <c r="C488" s="175" t="s">
        <v>597</v>
      </c>
      <c r="F488" s="161"/>
      <c r="K488" s="176"/>
    </row>
    <row r="489" spans="2:11" x14ac:dyDescent="0.3">
      <c r="B489" s="179">
        <v>6300</v>
      </c>
      <c r="C489" s="175" t="s">
        <v>598</v>
      </c>
      <c r="F489" s="161"/>
      <c r="K489" s="176"/>
    </row>
    <row r="490" spans="2:11" x14ac:dyDescent="0.3">
      <c r="B490" s="179">
        <v>8620</v>
      </c>
      <c r="C490" s="175" t="s">
        <v>599</v>
      </c>
      <c r="F490" s="161"/>
      <c r="K490" s="176"/>
    </row>
    <row r="491" spans="2:11" x14ac:dyDescent="0.3">
      <c r="B491" s="179">
        <v>19558</v>
      </c>
      <c r="C491" s="175" t="s">
        <v>600</v>
      </c>
      <c r="F491" s="161"/>
      <c r="K491" s="176"/>
    </row>
    <row r="492" spans="2:11" x14ac:dyDescent="0.3">
      <c r="B492" s="179">
        <v>28337</v>
      </c>
      <c r="C492" s="175" t="s">
        <v>601</v>
      </c>
      <c r="F492" s="161"/>
      <c r="K492" s="176"/>
    </row>
    <row r="493" spans="2:11" x14ac:dyDescent="0.3">
      <c r="B493" s="179">
        <v>28704</v>
      </c>
      <c r="C493" s="175" t="s">
        <v>602</v>
      </c>
      <c r="F493" s="161"/>
      <c r="K493" s="176"/>
    </row>
    <row r="494" spans="2:11" x14ac:dyDescent="0.3">
      <c r="B494" s="179">
        <v>28722</v>
      </c>
      <c r="C494" s="175" t="s">
        <v>603</v>
      </c>
      <c r="F494" s="161"/>
      <c r="K494" s="176"/>
    </row>
    <row r="495" spans="2:11" x14ac:dyDescent="0.3">
      <c r="B495" s="179">
        <v>73328</v>
      </c>
      <c r="C495" s="175" t="s">
        <v>604</v>
      </c>
      <c r="F495" s="161"/>
      <c r="K495" s="176"/>
    </row>
    <row r="496" spans="2:11" x14ac:dyDescent="0.3">
      <c r="B496" s="179">
        <v>2891</v>
      </c>
      <c r="C496" s="175" t="s">
        <v>605</v>
      </c>
      <c r="F496" s="161"/>
      <c r="K496" s="176"/>
    </row>
    <row r="497" spans="2:11" x14ac:dyDescent="0.3">
      <c r="B497" s="179">
        <v>88243</v>
      </c>
      <c r="C497" s="175" t="s">
        <v>606</v>
      </c>
      <c r="F497" s="161"/>
      <c r="K497" s="176"/>
    </row>
    <row r="498" spans="2:11" x14ac:dyDescent="0.3">
      <c r="B498" s="179">
        <v>89043</v>
      </c>
      <c r="C498" s="175" t="s">
        <v>607</v>
      </c>
      <c r="F498" s="161"/>
      <c r="K498" s="176"/>
    </row>
    <row r="499" spans="2:11" x14ac:dyDescent="0.3">
      <c r="B499" s="179">
        <v>89909</v>
      </c>
      <c r="C499" s="175" t="s">
        <v>608</v>
      </c>
      <c r="F499" s="161"/>
      <c r="K499" s="176"/>
    </row>
    <row r="500" spans="2:11" x14ac:dyDescent="0.3">
      <c r="B500" s="179">
        <v>89917</v>
      </c>
      <c r="C500" s="175" t="s">
        <v>609</v>
      </c>
      <c r="F500" s="161"/>
      <c r="K500" s="176"/>
    </row>
    <row r="501" spans="2:11" x14ac:dyDescent="0.3">
      <c r="B501" s="179">
        <v>91072</v>
      </c>
      <c r="C501" s="175" t="s">
        <v>610</v>
      </c>
      <c r="F501" s="161"/>
      <c r="K501" s="176"/>
    </row>
    <row r="502" spans="2:11" x14ac:dyDescent="0.3">
      <c r="B502" s="179">
        <v>3402</v>
      </c>
      <c r="C502" s="175" t="s">
        <v>611</v>
      </c>
      <c r="F502" s="161"/>
      <c r="K502" s="176"/>
    </row>
    <row r="503" spans="2:11" x14ac:dyDescent="0.3">
      <c r="B503" s="179">
        <v>18180</v>
      </c>
      <c r="C503" s="175" t="s">
        <v>612</v>
      </c>
      <c r="F503" s="161"/>
      <c r="K503" s="176"/>
    </row>
    <row r="504" spans="2:11" x14ac:dyDescent="0.3">
      <c r="B504" s="179">
        <v>19660</v>
      </c>
      <c r="C504" s="175" t="s">
        <v>613</v>
      </c>
      <c r="F504" s="161"/>
      <c r="K504" s="176"/>
    </row>
    <row r="505" spans="2:11" x14ac:dyDescent="0.3">
      <c r="B505" s="179">
        <v>26042</v>
      </c>
      <c r="C505" s="175" t="s">
        <v>614</v>
      </c>
      <c r="F505" s="161"/>
      <c r="K505" s="176"/>
    </row>
    <row r="506" spans="2:11" x14ac:dyDescent="0.3">
      <c r="B506" s="179">
        <v>28336</v>
      </c>
      <c r="C506" s="175" t="s">
        <v>615</v>
      </c>
      <c r="F506" s="161"/>
      <c r="K506" s="176"/>
    </row>
    <row r="507" spans="2:11" x14ac:dyDescent="0.3">
      <c r="B507" s="179">
        <v>100546</v>
      </c>
      <c r="C507" s="175" t="s">
        <v>616</v>
      </c>
      <c r="F507" s="161"/>
      <c r="K507" s="176"/>
    </row>
    <row r="508" spans="2:11" x14ac:dyDescent="0.3">
      <c r="B508" s="179">
        <v>3118</v>
      </c>
      <c r="C508" s="175" t="s">
        <v>617</v>
      </c>
      <c r="F508" s="161"/>
      <c r="K508" s="176"/>
    </row>
    <row r="509" spans="2:11" x14ac:dyDescent="0.3">
      <c r="B509" s="179">
        <v>6302</v>
      </c>
      <c r="C509" s="175" t="s">
        <v>618</v>
      </c>
      <c r="F509" s="161"/>
      <c r="K509" s="176"/>
    </row>
    <row r="510" spans="2:11" x14ac:dyDescent="0.3">
      <c r="B510" s="179">
        <v>18587</v>
      </c>
      <c r="C510" s="175" t="s">
        <v>619</v>
      </c>
      <c r="F510" s="161"/>
      <c r="K510" s="176"/>
    </row>
    <row r="511" spans="2:11" x14ac:dyDescent="0.3">
      <c r="B511" s="179">
        <v>76918</v>
      </c>
      <c r="C511" s="175" t="s">
        <v>620</v>
      </c>
      <c r="F511" s="161"/>
      <c r="K511" s="176"/>
    </row>
    <row r="512" spans="2:11" x14ac:dyDescent="0.3">
      <c r="B512" s="179">
        <v>2367</v>
      </c>
      <c r="C512" s="175" t="s">
        <v>621</v>
      </c>
      <c r="F512" s="161"/>
      <c r="K512" s="176"/>
    </row>
    <row r="513" spans="2:11" x14ac:dyDescent="0.3">
      <c r="B513" s="179">
        <v>3349</v>
      </c>
      <c r="C513" s="175" t="s">
        <v>622</v>
      </c>
      <c r="F513" s="161"/>
      <c r="K513" s="176"/>
    </row>
    <row r="514" spans="2:11" x14ac:dyDescent="0.3">
      <c r="B514" s="179">
        <v>3419</v>
      </c>
      <c r="C514" s="175" t="s">
        <v>623</v>
      </c>
      <c r="F514" s="161"/>
      <c r="K514" s="176"/>
    </row>
    <row r="515" spans="2:11" x14ac:dyDescent="0.3">
      <c r="B515" s="179">
        <v>4161</v>
      </c>
      <c r="C515" s="175" t="s">
        <v>624</v>
      </c>
      <c r="F515" s="161"/>
      <c r="K515" s="176"/>
    </row>
    <row r="516" spans="2:11" x14ac:dyDescent="0.3">
      <c r="B516" s="179">
        <v>4565</v>
      </c>
      <c r="C516" s="175" t="s">
        <v>625</v>
      </c>
      <c r="F516" s="161"/>
      <c r="K516" s="176"/>
    </row>
    <row r="517" spans="2:11" x14ac:dyDescent="0.3">
      <c r="B517" s="179">
        <v>8471</v>
      </c>
      <c r="C517" s="175" t="s">
        <v>626</v>
      </c>
      <c r="F517" s="161"/>
      <c r="K517" s="176"/>
    </row>
    <row r="518" spans="2:11" x14ac:dyDescent="0.3">
      <c r="B518" s="179">
        <v>50143</v>
      </c>
      <c r="C518" s="175" t="s">
        <v>627</v>
      </c>
      <c r="F518" s="161"/>
      <c r="K518" s="176"/>
    </row>
    <row r="519" spans="2:11" x14ac:dyDescent="0.3">
      <c r="B519" s="179">
        <v>83648</v>
      </c>
      <c r="C519" s="175" t="s">
        <v>628</v>
      </c>
      <c r="F519" s="161"/>
      <c r="K519" s="176"/>
    </row>
    <row r="520" spans="2:11" x14ac:dyDescent="0.3">
      <c r="B520" s="179">
        <v>88646</v>
      </c>
      <c r="C520" s="175" t="s">
        <v>629</v>
      </c>
      <c r="F520" s="161"/>
      <c r="K520" s="176"/>
    </row>
    <row r="521" spans="2:11" x14ac:dyDescent="0.3">
      <c r="B521" s="179">
        <v>5808</v>
      </c>
      <c r="C521" s="175" t="s">
        <v>630</v>
      </c>
      <c r="F521" s="161"/>
      <c r="K521" s="176"/>
    </row>
    <row r="522" spans="2:11" x14ac:dyDescent="0.3">
      <c r="B522" s="179">
        <v>10195</v>
      </c>
      <c r="C522" s="175" t="s">
        <v>631</v>
      </c>
      <c r="F522" s="161"/>
      <c r="K522" s="176"/>
    </row>
    <row r="523" spans="2:11" x14ac:dyDescent="0.3">
      <c r="B523" s="179">
        <v>27882</v>
      </c>
      <c r="C523" s="175" t="s">
        <v>632</v>
      </c>
      <c r="F523" s="161"/>
      <c r="K523" s="176"/>
    </row>
    <row r="524" spans="2:11" x14ac:dyDescent="0.3">
      <c r="B524" s="179">
        <v>37186</v>
      </c>
      <c r="C524" s="175" t="s">
        <v>633</v>
      </c>
      <c r="F524" s="161"/>
      <c r="K524" s="176"/>
    </row>
    <row r="525" spans="2:11" x14ac:dyDescent="0.3">
      <c r="B525" s="179">
        <v>76518</v>
      </c>
      <c r="C525" s="175" t="s">
        <v>634</v>
      </c>
      <c r="F525" s="161"/>
      <c r="K525" s="176"/>
    </row>
    <row r="526" spans="2:11" x14ac:dyDescent="0.3">
      <c r="B526" s="179">
        <v>100380</v>
      </c>
      <c r="C526" s="175" t="s">
        <v>635</v>
      </c>
      <c r="F526" s="161"/>
      <c r="K526" s="176"/>
    </row>
    <row r="527" spans="2:11" x14ac:dyDescent="0.3">
      <c r="B527" s="179">
        <v>100381</v>
      </c>
      <c r="C527" s="175" t="s">
        <v>636</v>
      </c>
      <c r="F527" s="161"/>
      <c r="K527" s="176"/>
    </row>
    <row r="528" spans="2:11" x14ac:dyDescent="0.3">
      <c r="B528" s="179">
        <v>100382</v>
      </c>
      <c r="C528" s="175" t="s">
        <v>637</v>
      </c>
      <c r="F528" s="161"/>
      <c r="K528" s="176"/>
    </row>
    <row r="529" spans="2:11" x14ac:dyDescent="0.3">
      <c r="B529" s="179">
        <v>100383</v>
      </c>
      <c r="C529" s="175" t="s">
        <v>638</v>
      </c>
      <c r="F529" s="161"/>
      <c r="K529" s="176"/>
    </row>
    <row r="530" spans="2:11" x14ac:dyDescent="0.3">
      <c r="B530" s="179">
        <v>100384</v>
      </c>
      <c r="C530" s="175" t="s">
        <v>639</v>
      </c>
      <c r="F530" s="161"/>
      <c r="K530" s="176"/>
    </row>
    <row r="531" spans="2:11" x14ac:dyDescent="0.3">
      <c r="B531" s="179">
        <v>100385</v>
      </c>
      <c r="C531" s="175" t="s">
        <v>640</v>
      </c>
      <c r="F531" s="161"/>
      <c r="K531" s="176"/>
    </row>
    <row r="532" spans="2:11" x14ac:dyDescent="0.3">
      <c r="B532" s="179">
        <v>100386</v>
      </c>
      <c r="C532" s="175" t="s">
        <v>641</v>
      </c>
      <c r="F532" s="161"/>
      <c r="K532" s="176"/>
    </row>
    <row r="533" spans="2:11" x14ac:dyDescent="0.3">
      <c r="B533" s="179">
        <v>100387</v>
      </c>
      <c r="C533" s="175" t="s">
        <v>642</v>
      </c>
      <c r="F533" s="161"/>
      <c r="K533" s="176"/>
    </row>
    <row r="534" spans="2:11" x14ac:dyDescent="0.3">
      <c r="B534" s="179">
        <v>100388</v>
      </c>
      <c r="C534" s="175" t="s">
        <v>643</v>
      </c>
      <c r="F534" s="161"/>
      <c r="K534" s="176"/>
    </row>
    <row r="535" spans="2:11" x14ac:dyDescent="0.3">
      <c r="B535" s="179">
        <v>100391</v>
      </c>
      <c r="C535" s="175" t="s">
        <v>644</v>
      </c>
      <c r="F535" s="161"/>
      <c r="K535" s="176"/>
    </row>
    <row r="536" spans="2:11" x14ac:dyDescent="0.3">
      <c r="B536" s="179">
        <v>100392</v>
      </c>
      <c r="C536" s="175" t="s">
        <v>645</v>
      </c>
      <c r="F536" s="161"/>
      <c r="K536" s="176"/>
    </row>
    <row r="537" spans="2:11" x14ac:dyDescent="0.3">
      <c r="B537" s="179">
        <v>100394</v>
      </c>
      <c r="C537" s="175" t="s">
        <v>646</v>
      </c>
      <c r="F537" s="161"/>
      <c r="K537" s="176"/>
    </row>
    <row r="538" spans="2:11" x14ac:dyDescent="0.3">
      <c r="B538" s="179">
        <v>100395</v>
      </c>
      <c r="C538" s="175" t="s">
        <v>647</v>
      </c>
      <c r="F538" s="161"/>
      <c r="K538" s="176"/>
    </row>
    <row r="539" spans="2:11" x14ac:dyDescent="0.3">
      <c r="B539" s="179">
        <v>100396</v>
      </c>
      <c r="C539" s="175" t="s">
        <v>648</v>
      </c>
      <c r="F539" s="161"/>
      <c r="K539" s="176"/>
    </row>
    <row r="540" spans="2:11" x14ac:dyDescent="0.3">
      <c r="B540" s="179">
        <v>100398</v>
      </c>
      <c r="C540" s="175" t="s">
        <v>649</v>
      </c>
      <c r="F540" s="161"/>
      <c r="K540" s="176"/>
    </row>
    <row r="541" spans="2:11" x14ac:dyDescent="0.3">
      <c r="B541" s="179">
        <v>100399</v>
      </c>
      <c r="C541" s="175" t="s">
        <v>650</v>
      </c>
      <c r="F541" s="161"/>
      <c r="K541" s="176"/>
    </row>
    <row r="542" spans="2:11" x14ac:dyDescent="0.3">
      <c r="B542" s="179">
        <v>100400</v>
      </c>
      <c r="C542" s="175" t="s">
        <v>651</v>
      </c>
      <c r="F542" s="161"/>
      <c r="K542" s="176"/>
    </row>
    <row r="543" spans="2:11" x14ac:dyDescent="0.3">
      <c r="B543" s="179">
        <v>100401</v>
      </c>
      <c r="C543" s="175" t="s">
        <v>652</v>
      </c>
      <c r="F543" s="161"/>
      <c r="K543" s="176"/>
    </row>
    <row r="544" spans="2:11" x14ac:dyDescent="0.3">
      <c r="B544" s="179">
        <v>100402</v>
      </c>
      <c r="C544" s="175" t="s">
        <v>653</v>
      </c>
      <c r="F544" s="161"/>
      <c r="K544" s="176"/>
    </row>
    <row r="545" spans="2:11" x14ac:dyDescent="0.3">
      <c r="B545" s="179">
        <v>100403</v>
      </c>
      <c r="C545" s="175" t="s">
        <v>654</v>
      </c>
      <c r="F545" s="161"/>
      <c r="K545" s="176"/>
    </row>
    <row r="546" spans="2:11" x14ac:dyDescent="0.3">
      <c r="B546" s="179">
        <v>100404</v>
      </c>
      <c r="C546" s="175" t="s">
        <v>655</v>
      </c>
      <c r="F546" s="161"/>
      <c r="K546" s="176"/>
    </row>
    <row r="547" spans="2:11" x14ac:dyDescent="0.3">
      <c r="B547" s="179">
        <v>100405</v>
      </c>
      <c r="C547" s="175" t="s">
        <v>656</v>
      </c>
      <c r="F547" s="161"/>
      <c r="K547" s="176"/>
    </row>
    <row r="548" spans="2:11" x14ac:dyDescent="0.3">
      <c r="B548" s="179">
        <v>100406</v>
      </c>
      <c r="C548" s="175" t="s">
        <v>657</v>
      </c>
      <c r="F548" s="161"/>
      <c r="K548" s="176"/>
    </row>
    <row r="549" spans="2:11" x14ac:dyDescent="0.3">
      <c r="B549" s="179">
        <v>100407</v>
      </c>
      <c r="C549" s="175" t="s">
        <v>658</v>
      </c>
      <c r="F549" s="161"/>
      <c r="K549" s="176"/>
    </row>
    <row r="550" spans="2:11" x14ac:dyDescent="0.3">
      <c r="B550" s="179">
        <v>1619</v>
      </c>
      <c r="C550" s="175" t="s">
        <v>659</v>
      </c>
      <c r="F550" s="161"/>
      <c r="K550" s="176"/>
    </row>
    <row r="551" spans="2:11" x14ac:dyDescent="0.3">
      <c r="B551" s="179">
        <v>3403</v>
      </c>
      <c r="C551" s="175" t="s">
        <v>660</v>
      </c>
      <c r="F551" s="161"/>
      <c r="K551" s="176"/>
    </row>
    <row r="552" spans="2:11" x14ac:dyDescent="0.3">
      <c r="B552" s="179">
        <v>3407</v>
      </c>
      <c r="C552" s="175" t="s">
        <v>661</v>
      </c>
      <c r="F552" s="161"/>
      <c r="K552" s="176"/>
    </row>
    <row r="553" spans="2:11" x14ac:dyDescent="0.3">
      <c r="B553" s="179">
        <v>5439</v>
      </c>
      <c r="C553" s="175" t="s">
        <v>662</v>
      </c>
      <c r="F553" s="161"/>
      <c r="K553" s="176"/>
    </row>
    <row r="554" spans="2:11" x14ac:dyDescent="0.3">
      <c r="B554" s="179">
        <v>87322</v>
      </c>
      <c r="C554" s="175" t="s">
        <v>663</v>
      </c>
      <c r="F554" s="161"/>
      <c r="K554" s="176"/>
    </row>
    <row r="555" spans="2:11" x14ac:dyDescent="0.3">
      <c r="B555" s="179">
        <v>89083</v>
      </c>
      <c r="C555" s="175" t="s">
        <v>664</v>
      </c>
      <c r="F555" s="161"/>
      <c r="K555" s="176"/>
    </row>
    <row r="556" spans="2:11" x14ac:dyDescent="0.3">
      <c r="B556" s="179">
        <v>89152</v>
      </c>
      <c r="C556" s="175" t="s">
        <v>665</v>
      </c>
      <c r="F556" s="161"/>
      <c r="K556" s="176"/>
    </row>
    <row r="557" spans="2:11" x14ac:dyDescent="0.3">
      <c r="B557" s="179">
        <v>90485</v>
      </c>
      <c r="C557" s="175" t="s">
        <v>666</v>
      </c>
      <c r="F557" s="161"/>
      <c r="K557" s="176"/>
    </row>
    <row r="558" spans="2:11" x14ac:dyDescent="0.3">
      <c r="B558" s="179">
        <v>2159</v>
      </c>
      <c r="C558" s="175" t="s">
        <v>667</v>
      </c>
      <c r="F558" s="161"/>
      <c r="K558" s="176"/>
    </row>
    <row r="559" spans="2:11" x14ac:dyDescent="0.3">
      <c r="B559" s="179">
        <v>3244</v>
      </c>
      <c r="C559" s="175" t="s">
        <v>668</v>
      </c>
      <c r="F559" s="161"/>
      <c r="K559" s="176"/>
    </row>
    <row r="560" spans="2:11" x14ac:dyDescent="0.3">
      <c r="B560" s="179">
        <v>3827</v>
      </c>
      <c r="C560" s="175" t="s">
        <v>669</v>
      </c>
      <c r="F560" s="161"/>
      <c r="K560" s="176"/>
    </row>
    <row r="561" spans="2:11" x14ac:dyDescent="0.3">
      <c r="B561" s="179">
        <v>4005</v>
      </c>
      <c r="C561" s="175" t="s">
        <v>670</v>
      </c>
      <c r="F561" s="161"/>
      <c r="K561" s="176"/>
    </row>
    <row r="562" spans="2:11" x14ac:dyDescent="0.3">
      <c r="B562" s="179">
        <v>4854</v>
      </c>
      <c r="C562" s="175" t="s">
        <v>671</v>
      </c>
      <c r="F562" s="161"/>
      <c r="K562" s="176"/>
    </row>
    <row r="563" spans="2:11" x14ac:dyDescent="0.3">
      <c r="B563" s="179">
        <v>5198</v>
      </c>
      <c r="C563" s="175" t="s">
        <v>672</v>
      </c>
      <c r="F563" s="161"/>
      <c r="K563" s="176"/>
    </row>
    <row r="564" spans="2:11" x14ac:dyDescent="0.3">
      <c r="B564" s="179">
        <v>89147</v>
      </c>
      <c r="C564" s="175" t="s">
        <v>673</v>
      </c>
      <c r="F564" s="161"/>
      <c r="K564" s="176"/>
    </row>
    <row r="565" spans="2:11" x14ac:dyDescent="0.3">
      <c r="B565" s="179">
        <v>5777</v>
      </c>
      <c r="C565" s="175" t="s">
        <v>674</v>
      </c>
      <c r="F565" s="161"/>
      <c r="K565" s="176"/>
    </row>
    <row r="566" spans="2:11" x14ac:dyDescent="0.3">
      <c r="B566" s="179">
        <v>2092</v>
      </c>
      <c r="C566" s="175" t="s">
        <v>675</v>
      </c>
      <c r="F566" s="161"/>
      <c r="K566" s="176"/>
    </row>
    <row r="567" spans="2:11" x14ac:dyDescent="0.3">
      <c r="B567" s="179">
        <v>5401</v>
      </c>
      <c r="C567" s="175" t="s">
        <v>676</v>
      </c>
      <c r="F567" s="161"/>
      <c r="K567" s="176"/>
    </row>
    <row r="568" spans="2:11" x14ac:dyDescent="0.3">
      <c r="B568" s="179">
        <v>5420</v>
      </c>
      <c r="C568" s="175" t="s">
        <v>677</v>
      </c>
      <c r="F568" s="161"/>
      <c r="K568" s="176"/>
    </row>
    <row r="569" spans="2:11" x14ac:dyDescent="0.3">
      <c r="B569" s="179">
        <v>31473</v>
      </c>
      <c r="C569" s="175" t="s">
        <v>678</v>
      </c>
      <c r="F569" s="161"/>
      <c r="K569" s="176"/>
    </row>
    <row r="570" spans="2:11" x14ac:dyDescent="0.3">
      <c r="B570" s="179">
        <v>87226</v>
      </c>
      <c r="C570" s="175" t="s">
        <v>679</v>
      </c>
      <c r="F570" s="161"/>
      <c r="K570" s="176"/>
    </row>
    <row r="571" spans="2:11" x14ac:dyDescent="0.3">
      <c r="B571" s="179">
        <v>88700</v>
      </c>
      <c r="C571" s="175" t="s">
        <v>680</v>
      </c>
      <c r="F571" s="161"/>
      <c r="K571" s="176"/>
    </row>
    <row r="572" spans="2:11" x14ac:dyDescent="0.3">
      <c r="B572" s="179">
        <v>88707</v>
      </c>
      <c r="C572" s="175" t="s">
        <v>681</v>
      </c>
      <c r="F572" s="161"/>
      <c r="K572" s="176"/>
    </row>
    <row r="573" spans="2:11" x14ac:dyDescent="0.3">
      <c r="B573" s="179">
        <v>88709</v>
      </c>
      <c r="C573" s="175" t="s">
        <v>682</v>
      </c>
      <c r="F573" s="161"/>
      <c r="K573" s="176"/>
    </row>
    <row r="574" spans="2:11" x14ac:dyDescent="0.3">
      <c r="B574" s="179">
        <v>88935</v>
      </c>
      <c r="C574" s="175" t="s">
        <v>683</v>
      </c>
      <c r="F574" s="161"/>
      <c r="K574" s="176"/>
    </row>
    <row r="575" spans="2:11" x14ac:dyDescent="0.3">
      <c r="B575" s="179">
        <v>88979</v>
      </c>
      <c r="C575" s="175" t="s">
        <v>684</v>
      </c>
      <c r="F575" s="161"/>
      <c r="K575" s="176"/>
    </row>
    <row r="576" spans="2:11" x14ac:dyDescent="0.3">
      <c r="B576" s="179">
        <v>88980</v>
      </c>
      <c r="C576" s="175" t="s">
        <v>685</v>
      </c>
      <c r="F576" s="161"/>
      <c r="K576" s="176"/>
    </row>
    <row r="577" spans="2:11" x14ac:dyDescent="0.3">
      <c r="B577" s="179">
        <v>89207</v>
      </c>
      <c r="C577" s="175" t="s">
        <v>686</v>
      </c>
      <c r="F577" s="161"/>
      <c r="K577" s="176"/>
    </row>
    <row r="578" spans="2:11" x14ac:dyDescent="0.3">
      <c r="B578" s="179">
        <v>89208</v>
      </c>
      <c r="C578" s="175" t="s">
        <v>687</v>
      </c>
      <c r="F578" s="161"/>
      <c r="K578" s="176"/>
    </row>
    <row r="579" spans="2:11" x14ac:dyDescent="0.3">
      <c r="B579" s="179">
        <v>89210</v>
      </c>
      <c r="C579" s="175" t="s">
        <v>688</v>
      </c>
      <c r="F579" s="161"/>
      <c r="K579" s="176"/>
    </row>
    <row r="580" spans="2:11" x14ac:dyDescent="0.3">
      <c r="B580" s="179">
        <v>89250</v>
      </c>
      <c r="C580" s="175" t="s">
        <v>689</v>
      </c>
      <c r="F580" s="161"/>
      <c r="K580" s="176"/>
    </row>
    <row r="581" spans="2:11" x14ac:dyDescent="0.3">
      <c r="B581" s="179">
        <v>89473</v>
      </c>
      <c r="C581" s="175" t="s">
        <v>690</v>
      </c>
      <c r="F581" s="161"/>
      <c r="K581" s="176"/>
    </row>
    <row r="582" spans="2:11" x14ac:dyDescent="0.3">
      <c r="B582" s="179">
        <v>89713</v>
      </c>
      <c r="C582" s="175" t="s">
        <v>691</v>
      </c>
      <c r="F582" s="161"/>
      <c r="K582" s="176"/>
    </row>
    <row r="583" spans="2:11" x14ac:dyDescent="0.3">
      <c r="B583" s="179">
        <v>89979</v>
      </c>
      <c r="C583" s="175" t="s">
        <v>692</v>
      </c>
      <c r="F583" s="161"/>
      <c r="K583" s="176"/>
    </row>
    <row r="584" spans="2:11" x14ac:dyDescent="0.3">
      <c r="B584" s="179">
        <v>89980</v>
      </c>
      <c r="C584" s="175" t="s">
        <v>693</v>
      </c>
      <c r="F584" s="161"/>
      <c r="K584" s="176"/>
    </row>
    <row r="585" spans="2:11" x14ac:dyDescent="0.3">
      <c r="B585" s="179">
        <v>90682</v>
      </c>
      <c r="C585" s="175" t="s">
        <v>694</v>
      </c>
      <c r="F585" s="161"/>
      <c r="K585" s="176"/>
    </row>
    <row r="586" spans="2:11" x14ac:dyDescent="0.3">
      <c r="B586" s="179">
        <v>91151</v>
      </c>
      <c r="C586" s="175" t="s">
        <v>695</v>
      </c>
      <c r="F586" s="161"/>
      <c r="K586" s="176"/>
    </row>
    <row r="587" spans="2:11" x14ac:dyDescent="0.3">
      <c r="B587" s="179">
        <v>100471</v>
      </c>
      <c r="C587" s="175" t="s">
        <v>696</v>
      </c>
      <c r="F587" s="161"/>
      <c r="K587" s="176"/>
    </row>
    <row r="588" spans="2:11" x14ac:dyDescent="0.3">
      <c r="B588" s="179">
        <v>100592</v>
      </c>
      <c r="C588" s="175" t="s">
        <v>697</v>
      </c>
      <c r="F588" s="161"/>
      <c r="K588" s="176"/>
    </row>
    <row r="589" spans="2:11" x14ac:dyDescent="0.3">
      <c r="B589" s="179">
        <v>100593</v>
      </c>
      <c r="C589" s="175" t="s">
        <v>698</v>
      </c>
      <c r="F589" s="161"/>
      <c r="K589" s="176"/>
    </row>
    <row r="590" spans="2:11" x14ac:dyDescent="0.3">
      <c r="B590" s="179">
        <v>101155</v>
      </c>
      <c r="C590" s="175" t="s">
        <v>699</v>
      </c>
      <c r="F590" s="161"/>
      <c r="K590" s="176"/>
    </row>
    <row r="591" spans="2:11" x14ac:dyDescent="0.3">
      <c r="B591" s="179">
        <v>972</v>
      </c>
      <c r="C591" s="175" t="s">
        <v>700</v>
      </c>
      <c r="F591" s="161"/>
      <c r="K591" s="176"/>
    </row>
    <row r="592" spans="2:11" x14ac:dyDescent="0.3">
      <c r="B592" s="179">
        <v>1211</v>
      </c>
      <c r="C592" s="175" t="s">
        <v>701</v>
      </c>
      <c r="F592" s="161"/>
      <c r="K592" s="176"/>
    </row>
    <row r="593" spans="2:11" x14ac:dyDescent="0.3">
      <c r="B593" s="179">
        <v>1988</v>
      </c>
      <c r="C593" s="175" t="s">
        <v>702</v>
      </c>
      <c r="F593" s="161"/>
      <c r="K593" s="176"/>
    </row>
    <row r="594" spans="2:11" x14ac:dyDescent="0.3">
      <c r="B594" s="179">
        <v>2714</v>
      </c>
      <c r="C594" s="175" t="s">
        <v>703</v>
      </c>
      <c r="F594" s="161"/>
      <c r="K594" s="176"/>
    </row>
    <row r="595" spans="2:11" x14ac:dyDescent="0.3">
      <c r="B595" s="179">
        <v>3765</v>
      </c>
      <c r="C595" s="175" t="s">
        <v>704</v>
      </c>
      <c r="F595" s="161"/>
      <c r="K595" s="176"/>
    </row>
    <row r="596" spans="2:11" x14ac:dyDescent="0.3">
      <c r="B596" s="179">
        <v>7949</v>
      </c>
      <c r="C596" s="175" t="s">
        <v>705</v>
      </c>
      <c r="F596" s="161"/>
      <c r="K596" s="176"/>
    </row>
    <row r="597" spans="2:11" x14ac:dyDescent="0.3">
      <c r="B597" s="179">
        <v>73544</v>
      </c>
      <c r="C597" s="175" t="s">
        <v>706</v>
      </c>
      <c r="F597" s="161"/>
      <c r="K597" s="176"/>
    </row>
    <row r="598" spans="2:11" x14ac:dyDescent="0.3">
      <c r="B598" s="179">
        <v>77491</v>
      </c>
      <c r="C598" s="175" t="s">
        <v>707</v>
      </c>
      <c r="F598" s="161"/>
      <c r="K598" s="176"/>
    </row>
    <row r="599" spans="2:11" x14ac:dyDescent="0.3">
      <c r="B599" s="179">
        <v>84576</v>
      </c>
      <c r="C599" s="175" t="s">
        <v>708</v>
      </c>
      <c r="F599" s="161"/>
      <c r="K599" s="176"/>
    </row>
    <row r="600" spans="2:11" x14ac:dyDescent="0.3">
      <c r="B600" s="179">
        <v>100594</v>
      </c>
      <c r="C600" s="175" t="s">
        <v>709</v>
      </c>
      <c r="F600" s="161"/>
      <c r="K600" s="176"/>
    </row>
    <row r="601" spans="2:11" x14ac:dyDescent="0.3">
      <c r="B601" s="179">
        <v>100595</v>
      </c>
      <c r="C601" s="175" t="s">
        <v>710</v>
      </c>
      <c r="F601" s="161"/>
      <c r="K601" s="176"/>
    </row>
    <row r="602" spans="2:11" x14ac:dyDescent="0.3">
      <c r="B602" s="179">
        <v>100596</v>
      </c>
      <c r="C602" s="175" t="s">
        <v>711</v>
      </c>
      <c r="F602" s="161"/>
      <c r="K602" s="176"/>
    </row>
    <row r="603" spans="2:11" x14ac:dyDescent="0.3">
      <c r="B603" s="179">
        <v>100753</v>
      </c>
      <c r="C603" s="175" t="s">
        <v>712</v>
      </c>
      <c r="F603" s="161"/>
      <c r="K603" s="176"/>
    </row>
    <row r="604" spans="2:11" x14ac:dyDescent="0.3">
      <c r="B604" s="179">
        <v>100754</v>
      </c>
      <c r="C604" s="175" t="s">
        <v>713</v>
      </c>
      <c r="F604" s="161"/>
      <c r="K604" s="176"/>
    </row>
    <row r="605" spans="2:11" x14ac:dyDescent="0.3">
      <c r="B605" s="179">
        <v>101242</v>
      </c>
      <c r="C605" s="175" t="s">
        <v>714</v>
      </c>
      <c r="F605" s="161"/>
      <c r="K605" s="176"/>
    </row>
    <row r="606" spans="2:11" x14ac:dyDescent="0.3">
      <c r="B606" s="179">
        <v>86466</v>
      </c>
      <c r="C606" s="175" t="s">
        <v>715</v>
      </c>
      <c r="F606" s="161"/>
      <c r="K606" s="176"/>
    </row>
    <row r="607" spans="2:11" x14ac:dyDescent="0.3">
      <c r="B607" s="179">
        <v>89510</v>
      </c>
      <c r="C607" s="175" t="s">
        <v>716</v>
      </c>
      <c r="F607" s="161"/>
      <c r="K607" s="176"/>
    </row>
    <row r="608" spans="2:11" x14ac:dyDescent="0.3">
      <c r="B608" s="179">
        <v>89750</v>
      </c>
      <c r="C608" s="175" t="s">
        <v>717</v>
      </c>
      <c r="F608" s="161"/>
      <c r="K608" s="176"/>
    </row>
    <row r="609" spans="2:11" x14ac:dyDescent="0.3">
      <c r="B609" s="179">
        <v>89793</v>
      </c>
      <c r="C609" s="175" t="s">
        <v>718</v>
      </c>
      <c r="F609" s="161"/>
      <c r="K609" s="176"/>
    </row>
    <row r="610" spans="2:11" x14ac:dyDescent="0.3">
      <c r="B610" s="179">
        <v>89837</v>
      </c>
      <c r="C610" s="175" t="s">
        <v>719</v>
      </c>
      <c r="F610" s="161"/>
      <c r="K610" s="176"/>
    </row>
    <row r="611" spans="2:11" x14ac:dyDescent="0.3">
      <c r="B611" s="179">
        <v>90009</v>
      </c>
      <c r="C611" s="175" t="s">
        <v>720</v>
      </c>
      <c r="F611" s="161"/>
      <c r="K611" s="176"/>
    </row>
    <row r="612" spans="2:11" x14ac:dyDescent="0.3">
      <c r="B612" s="179">
        <v>90258</v>
      </c>
      <c r="C612" s="175" t="s">
        <v>721</v>
      </c>
      <c r="F612" s="161"/>
      <c r="K612" s="176"/>
    </row>
    <row r="613" spans="2:11" x14ac:dyDescent="0.3">
      <c r="B613" s="179">
        <v>100551</v>
      </c>
      <c r="C613" s="175" t="s">
        <v>722</v>
      </c>
      <c r="F613" s="161"/>
      <c r="K613" s="176"/>
    </row>
    <row r="614" spans="2:11" x14ac:dyDescent="0.3">
      <c r="B614" s="179">
        <v>100991</v>
      </c>
      <c r="C614" s="175" t="s">
        <v>723</v>
      </c>
      <c r="F614" s="161"/>
      <c r="K614" s="176"/>
    </row>
    <row r="615" spans="2:11" x14ac:dyDescent="0.3">
      <c r="B615" s="179">
        <v>101425</v>
      </c>
      <c r="C615" s="175" t="s">
        <v>724</v>
      </c>
      <c r="F615" s="161"/>
      <c r="K615" s="176"/>
    </row>
    <row r="616" spans="2:11" x14ac:dyDescent="0.3">
      <c r="B616" s="179">
        <v>6334</v>
      </c>
      <c r="C616" s="175" t="s">
        <v>725</v>
      </c>
      <c r="F616" s="161"/>
      <c r="K616" s="176"/>
    </row>
    <row r="617" spans="2:11" x14ac:dyDescent="0.3">
      <c r="B617" s="179">
        <v>7623</v>
      </c>
      <c r="C617" s="175" t="s">
        <v>726</v>
      </c>
      <c r="F617" s="161"/>
      <c r="K617" s="176"/>
    </row>
    <row r="618" spans="2:11" x14ac:dyDescent="0.3">
      <c r="B618" s="179">
        <v>41687</v>
      </c>
      <c r="C618" s="175" t="s">
        <v>727</v>
      </c>
      <c r="F618" s="161"/>
      <c r="K618" s="176"/>
    </row>
    <row r="619" spans="2:11" x14ac:dyDescent="0.3">
      <c r="B619" s="179">
        <v>91237</v>
      </c>
      <c r="C619" s="175" t="s">
        <v>728</v>
      </c>
      <c r="F619" s="161"/>
      <c r="K619" s="176"/>
    </row>
    <row r="620" spans="2:11" x14ac:dyDescent="0.3">
      <c r="B620" s="179">
        <v>101134</v>
      </c>
      <c r="C620" s="175" t="s">
        <v>729</v>
      </c>
      <c r="F620" s="161"/>
      <c r="K620" s="176"/>
    </row>
    <row r="621" spans="2:11" x14ac:dyDescent="0.3">
      <c r="B621" s="179">
        <v>101269</v>
      </c>
      <c r="C621" s="175" t="s">
        <v>730</v>
      </c>
      <c r="F621" s="161"/>
      <c r="K621" s="176"/>
    </row>
    <row r="622" spans="2:11" x14ac:dyDescent="0.3">
      <c r="B622" s="179">
        <v>101272</v>
      </c>
      <c r="C622" s="175" t="s">
        <v>731</v>
      </c>
      <c r="F622" s="161"/>
      <c r="K622" s="176"/>
    </row>
    <row r="623" spans="2:11" x14ac:dyDescent="0.3">
      <c r="B623" s="179">
        <v>101388</v>
      </c>
      <c r="C623" s="175" t="s">
        <v>732</v>
      </c>
      <c r="F623" s="161"/>
      <c r="K623" s="176"/>
    </row>
    <row r="624" spans="2:11" x14ac:dyDescent="0.3">
      <c r="B624" s="179">
        <v>101389</v>
      </c>
      <c r="C624" s="175" t="s">
        <v>733</v>
      </c>
      <c r="F624" s="161"/>
      <c r="K624" s="176"/>
    </row>
    <row r="625" spans="2:11" x14ac:dyDescent="0.3">
      <c r="B625" s="179">
        <v>85671</v>
      </c>
      <c r="C625" s="175" t="s">
        <v>734</v>
      </c>
      <c r="F625" s="161"/>
      <c r="K625" s="176"/>
    </row>
    <row r="626" spans="2:11" x14ac:dyDescent="0.3">
      <c r="B626" s="179">
        <v>85836</v>
      </c>
      <c r="C626" s="175" t="s">
        <v>735</v>
      </c>
      <c r="F626" s="161"/>
      <c r="K626" s="176"/>
    </row>
    <row r="627" spans="2:11" x14ac:dyDescent="0.3">
      <c r="B627" s="179">
        <v>86323</v>
      </c>
      <c r="C627" s="175" t="s">
        <v>736</v>
      </c>
      <c r="F627" s="161"/>
      <c r="K627" s="176"/>
    </row>
    <row r="628" spans="2:11" x14ac:dyDescent="0.3">
      <c r="B628" s="179">
        <v>87026</v>
      </c>
      <c r="C628" s="175" t="s">
        <v>737</v>
      </c>
      <c r="F628" s="161"/>
      <c r="K628" s="176"/>
    </row>
    <row r="629" spans="2:11" x14ac:dyDescent="0.3">
      <c r="B629" s="179">
        <v>87250</v>
      </c>
      <c r="C629" s="175" t="s">
        <v>738</v>
      </c>
      <c r="F629" s="161"/>
      <c r="K629" s="176"/>
    </row>
    <row r="630" spans="2:11" x14ac:dyDescent="0.3">
      <c r="B630" s="179">
        <v>87564</v>
      </c>
      <c r="C630" s="175" t="s">
        <v>739</v>
      </c>
      <c r="F630" s="161"/>
      <c r="K630" s="176"/>
    </row>
    <row r="631" spans="2:11" x14ac:dyDescent="0.3">
      <c r="B631" s="179">
        <v>88335</v>
      </c>
      <c r="C631" s="175" t="s">
        <v>740</v>
      </c>
      <c r="F631" s="161"/>
      <c r="K631" s="176"/>
    </row>
    <row r="632" spans="2:11" x14ac:dyDescent="0.3">
      <c r="B632" s="179">
        <v>88645</v>
      </c>
      <c r="C632" s="175" t="s">
        <v>741</v>
      </c>
      <c r="F632" s="161"/>
      <c r="K632" s="176"/>
    </row>
    <row r="633" spans="2:11" x14ac:dyDescent="0.3">
      <c r="B633" s="179">
        <v>89340</v>
      </c>
      <c r="C633" s="175" t="s">
        <v>742</v>
      </c>
      <c r="F633" s="161"/>
      <c r="K633" s="176"/>
    </row>
    <row r="634" spans="2:11" x14ac:dyDescent="0.3">
      <c r="B634" s="179">
        <v>89430</v>
      </c>
      <c r="C634" s="175" t="s">
        <v>743</v>
      </c>
      <c r="F634" s="161"/>
      <c r="K634" s="176"/>
    </row>
    <row r="635" spans="2:11" x14ac:dyDescent="0.3">
      <c r="B635" s="179">
        <v>89455</v>
      </c>
      <c r="C635" s="175" t="s">
        <v>744</v>
      </c>
      <c r="F635" s="161"/>
      <c r="K635" s="176"/>
    </row>
    <row r="636" spans="2:11" x14ac:dyDescent="0.3">
      <c r="B636" s="179">
        <v>89456</v>
      </c>
      <c r="C636" s="175" t="s">
        <v>745</v>
      </c>
      <c r="F636" s="161"/>
      <c r="K636" s="176"/>
    </row>
    <row r="637" spans="2:11" x14ac:dyDescent="0.3">
      <c r="B637" s="179">
        <v>90116</v>
      </c>
      <c r="C637" s="175" t="s">
        <v>746</v>
      </c>
      <c r="F637" s="161"/>
      <c r="K637" s="176"/>
    </row>
    <row r="638" spans="2:11" x14ac:dyDescent="0.3">
      <c r="B638" s="179">
        <v>90191</v>
      </c>
      <c r="C638" s="175" t="s">
        <v>747</v>
      </c>
      <c r="F638" s="161"/>
      <c r="K638" s="176"/>
    </row>
    <row r="639" spans="2:11" x14ac:dyDescent="0.3">
      <c r="B639" s="179">
        <v>90192</v>
      </c>
      <c r="C639" s="175" t="s">
        <v>748</v>
      </c>
      <c r="F639" s="161"/>
      <c r="K639" s="176"/>
    </row>
    <row r="640" spans="2:11" x14ac:dyDescent="0.3">
      <c r="B640" s="179">
        <v>90245</v>
      </c>
      <c r="C640" s="175" t="s">
        <v>749</v>
      </c>
      <c r="F640" s="161"/>
      <c r="K640" s="176"/>
    </row>
    <row r="641" spans="2:11" x14ac:dyDescent="0.3">
      <c r="B641" s="179">
        <v>101193</v>
      </c>
      <c r="C641" s="175" t="s">
        <v>750</v>
      </c>
      <c r="F641" s="161"/>
      <c r="K641" s="176"/>
    </row>
    <row r="642" spans="2:11" x14ac:dyDescent="0.3">
      <c r="B642" s="179">
        <v>101576</v>
      </c>
      <c r="C642" s="175" t="s">
        <v>751</v>
      </c>
      <c r="F642" s="161"/>
      <c r="K642" s="176"/>
    </row>
    <row r="643" spans="2:11" x14ac:dyDescent="0.3">
      <c r="B643" s="179">
        <v>1370</v>
      </c>
      <c r="C643" s="175" t="s">
        <v>752</v>
      </c>
      <c r="F643" s="161"/>
      <c r="K643" s="176"/>
    </row>
    <row r="644" spans="2:11" x14ac:dyDescent="0.3">
      <c r="B644" s="179">
        <v>1899</v>
      </c>
      <c r="C644" s="175" t="s">
        <v>753</v>
      </c>
      <c r="F644" s="161"/>
      <c r="K644" s="176"/>
    </row>
    <row r="645" spans="2:11" x14ac:dyDescent="0.3">
      <c r="B645" s="179">
        <v>2452</v>
      </c>
      <c r="C645" s="175" t="s">
        <v>754</v>
      </c>
      <c r="F645" s="161"/>
      <c r="K645" s="176"/>
    </row>
    <row r="646" spans="2:11" x14ac:dyDescent="0.3">
      <c r="B646" s="179">
        <v>2783</v>
      </c>
      <c r="C646" s="175" t="s">
        <v>755</v>
      </c>
      <c r="F646" s="161"/>
      <c r="K646" s="176"/>
    </row>
    <row r="647" spans="2:11" x14ac:dyDescent="0.3">
      <c r="B647" s="179">
        <v>4115</v>
      </c>
      <c r="C647" s="175" t="s">
        <v>756</v>
      </c>
      <c r="F647" s="161"/>
      <c r="K647" s="176"/>
    </row>
    <row r="648" spans="2:11" x14ac:dyDescent="0.3">
      <c r="B648" s="179">
        <v>8870</v>
      </c>
      <c r="C648" s="175" t="s">
        <v>757</v>
      </c>
      <c r="F648" s="161"/>
      <c r="K648" s="176"/>
    </row>
    <row r="649" spans="2:11" x14ac:dyDescent="0.3">
      <c r="B649" s="179">
        <v>100626</v>
      </c>
      <c r="C649" s="175" t="s">
        <v>758</v>
      </c>
      <c r="F649" s="161"/>
      <c r="K649" s="176"/>
    </row>
    <row r="650" spans="2:11" x14ac:dyDescent="0.3">
      <c r="B650" s="179">
        <v>101204</v>
      </c>
      <c r="C650" s="175" t="s">
        <v>759</v>
      </c>
      <c r="F650" s="161"/>
      <c r="K650" s="176"/>
    </row>
    <row r="651" spans="2:11" x14ac:dyDescent="0.3">
      <c r="B651" s="179">
        <v>101317</v>
      </c>
      <c r="C651" s="175" t="s">
        <v>760</v>
      </c>
      <c r="F651" s="161"/>
      <c r="K651" s="176"/>
    </row>
    <row r="652" spans="2:11" x14ac:dyDescent="0.3">
      <c r="B652" s="179">
        <v>86187</v>
      </c>
      <c r="C652" s="175" t="s">
        <v>761</v>
      </c>
      <c r="F652" s="161"/>
      <c r="K652" s="176"/>
    </row>
    <row r="653" spans="2:11" x14ac:dyDescent="0.3">
      <c r="B653" s="179">
        <v>86190</v>
      </c>
      <c r="C653" s="175" t="s">
        <v>762</v>
      </c>
      <c r="F653" s="161"/>
      <c r="K653" s="176"/>
    </row>
    <row r="654" spans="2:11" x14ac:dyDescent="0.3">
      <c r="B654" s="179">
        <v>86667</v>
      </c>
      <c r="C654" s="175" t="s">
        <v>763</v>
      </c>
      <c r="F654" s="161"/>
      <c r="K654" s="176"/>
    </row>
    <row r="655" spans="2:11" x14ac:dyDescent="0.3">
      <c r="B655" s="179">
        <v>86702</v>
      </c>
      <c r="C655" s="175" t="s">
        <v>764</v>
      </c>
      <c r="F655" s="161"/>
      <c r="K655" s="176"/>
    </row>
    <row r="656" spans="2:11" x14ac:dyDescent="0.3">
      <c r="B656" s="179">
        <v>87330</v>
      </c>
      <c r="C656" s="175" t="s">
        <v>765</v>
      </c>
      <c r="F656" s="161"/>
      <c r="K656" s="176"/>
    </row>
    <row r="657" spans="2:11" x14ac:dyDescent="0.3">
      <c r="B657" s="179">
        <v>88145</v>
      </c>
      <c r="C657" s="175" t="s">
        <v>766</v>
      </c>
      <c r="F657" s="161"/>
      <c r="K657" s="176"/>
    </row>
    <row r="658" spans="2:11" x14ac:dyDescent="0.3">
      <c r="B658" s="179">
        <v>88445</v>
      </c>
      <c r="C658" s="175" t="s">
        <v>767</v>
      </c>
      <c r="F658" s="161"/>
      <c r="K658" s="176"/>
    </row>
    <row r="659" spans="2:11" x14ac:dyDescent="0.3">
      <c r="B659" s="179">
        <v>1975</v>
      </c>
      <c r="C659" s="175" t="s">
        <v>768</v>
      </c>
      <c r="F659" s="161"/>
      <c r="K659" s="176"/>
    </row>
    <row r="660" spans="2:11" x14ac:dyDescent="0.3">
      <c r="B660" s="179">
        <v>3359</v>
      </c>
      <c r="C660" s="175" t="s">
        <v>769</v>
      </c>
      <c r="F660" s="161"/>
      <c r="K660" s="176"/>
    </row>
    <row r="661" spans="2:11" x14ac:dyDescent="0.3">
      <c r="B661" s="179">
        <v>3789</v>
      </c>
      <c r="C661" s="175" t="s">
        <v>770</v>
      </c>
      <c r="F661" s="161"/>
      <c r="K661" s="176"/>
    </row>
    <row r="662" spans="2:11" x14ac:dyDescent="0.3">
      <c r="B662" s="179">
        <v>3881</v>
      </c>
      <c r="C662" s="175" t="s">
        <v>771</v>
      </c>
      <c r="F662" s="161"/>
      <c r="K662" s="176"/>
    </row>
    <row r="663" spans="2:11" x14ac:dyDescent="0.3">
      <c r="B663" s="179">
        <v>29023</v>
      </c>
      <c r="C663" s="175" t="s">
        <v>772</v>
      </c>
      <c r="F663" s="161"/>
      <c r="K663" s="176"/>
    </row>
    <row r="664" spans="2:11" x14ac:dyDescent="0.3">
      <c r="B664" s="179">
        <v>101100</v>
      </c>
      <c r="C664" s="175" t="s">
        <v>773</v>
      </c>
      <c r="F664" s="161"/>
      <c r="K664" s="176"/>
    </row>
    <row r="665" spans="2:11" x14ac:dyDescent="0.3">
      <c r="B665" s="179">
        <v>101102</v>
      </c>
      <c r="C665" s="175" t="s">
        <v>774</v>
      </c>
      <c r="F665" s="161"/>
      <c r="K665" s="176"/>
    </row>
    <row r="666" spans="2:11" x14ac:dyDescent="0.3">
      <c r="B666" s="179">
        <v>88775</v>
      </c>
      <c r="C666" s="175" t="s">
        <v>775</v>
      </c>
      <c r="F666" s="161"/>
      <c r="K666" s="176"/>
    </row>
    <row r="667" spans="2:11" x14ac:dyDescent="0.3">
      <c r="B667" s="179">
        <v>88776</v>
      </c>
      <c r="C667" s="175" t="s">
        <v>776</v>
      </c>
      <c r="F667" s="161"/>
      <c r="K667" s="176"/>
    </row>
    <row r="668" spans="2:11" x14ac:dyDescent="0.3">
      <c r="B668" s="179">
        <v>89525</v>
      </c>
      <c r="C668" s="175" t="s">
        <v>777</v>
      </c>
      <c r="F668" s="161"/>
      <c r="K668" s="176"/>
    </row>
    <row r="669" spans="2:11" x14ac:dyDescent="0.3">
      <c r="B669" s="179">
        <v>89526</v>
      </c>
      <c r="C669" s="175" t="s">
        <v>778</v>
      </c>
      <c r="F669" s="161"/>
      <c r="K669" s="176"/>
    </row>
    <row r="670" spans="2:11" x14ac:dyDescent="0.3">
      <c r="B670" s="179">
        <v>90283</v>
      </c>
      <c r="C670" s="175" t="s">
        <v>779</v>
      </c>
      <c r="F670" s="161"/>
      <c r="K670" s="176"/>
    </row>
    <row r="671" spans="2:11" x14ac:dyDescent="0.3">
      <c r="B671" s="179">
        <v>90373</v>
      </c>
      <c r="C671" s="175" t="s">
        <v>780</v>
      </c>
      <c r="F671" s="161"/>
      <c r="K671" s="176"/>
    </row>
    <row r="672" spans="2:11" x14ac:dyDescent="0.3">
      <c r="B672" s="179">
        <v>90844</v>
      </c>
      <c r="C672" s="175" t="s">
        <v>781</v>
      </c>
      <c r="F672" s="161"/>
      <c r="K672" s="176"/>
    </row>
    <row r="673" spans="2:11" x14ac:dyDescent="0.3">
      <c r="B673" s="179">
        <v>2503</v>
      </c>
      <c r="C673" s="175" t="s">
        <v>782</v>
      </c>
      <c r="F673" s="161"/>
      <c r="K673" s="176"/>
    </row>
    <row r="674" spans="2:11" x14ac:dyDescent="0.3">
      <c r="B674" s="179">
        <v>3915</v>
      </c>
      <c r="C674" s="175" t="s">
        <v>783</v>
      </c>
      <c r="F674" s="161"/>
      <c r="K674" s="176"/>
    </row>
    <row r="675" spans="2:11" x14ac:dyDescent="0.3">
      <c r="B675" s="179">
        <v>4755</v>
      </c>
      <c r="C675" s="175" t="s">
        <v>784</v>
      </c>
      <c r="F675" s="161"/>
      <c r="K675" s="176"/>
    </row>
    <row r="676" spans="2:11" x14ac:dyDescent="0.3">
      <c r="B676" s="179">
        <v>5919</v>
      </c>
      <c r="C676" s="175" t="s">
        <v>785</v>
      </c>
      <c r="F676" s="161"/>
      <c r="K676" s="176"/>
    </row>
    <row r="677" spans="2:11" x14ac:dyDescent="0.3">
      <c r="B677" s="179">
        <v>37236</v>
      </c>
      <c r="C677" s="175" t="s">
        <v>786</v>
      </c>
      <c r="F677" s="161"/>
      <c r="K677" s="176"/>
    </row>
    <row r="678" spans="2:11" x14ac:dyDescent="0.3">
      <c r="B678" s="179">
        <v>100920</v>
      </c>
      <c r="C678" s="175" t="s">
        <v>787</v>
      </c>
      <c r="F678" s="161"/>
      <c r="K678" s="176"/>
    </row>
    <row r="679" spans="2:11" x14ac:dyDescent="0.3">
      <c r="B679" s="179">
        <v>101304</v>
      </c>
      <c r="C679" s="175" t="s">
        <v>788</v>
      </c>
      <c r="F679" s="161"/>
      <c r="K679" s="176"/>
    </row>
    <row r="680" spans="2:11" x14ac:dyDescent="0.3">
      <c r="B680" s="179">
        <v>85746</v>
      </c>
      <c r="C680" s="175" t="s">
        <v>789</v>
      </c>
      <c r="F680" s="161"/>
      <c r="K680" s="176"/>
    </row>
    <row r="681" spans="2:11" x14ac:dyDescent="0.3">
      <c r="B681" s="179">
        <v>87853</v>
      </c>
      <c r="C681" s="175" t="s">
        <v>790</v>
      </c>
      <c r="F681" s="161"/>
      <c r="K681" s="176"/>
    </row>
    <row r="682" spans="2:11" x14ac:dyDescent="0.3">
      <c r="B682" s="179">
        <v>88119</v>
      </c>
      <c r="C682" s="175" t="s">
        <v>791</v>
      </c>
      <c r="F682" s="161"/>
      <c r="K682" s="176"/>
    </row>
    <row r="683" spans="2:11" x14ac:dyDescent="0.3">
      <c r="B683" s="179">
        <v>88354</v>
      </c>
      <c r="C683" s="175" t="s">
        <v>792</v>
      </c>
      <c r="F683" s="161"/>
      <c r="K683" s="176"/>
    </row>
    <row r="684" spans="2:11" x14ac:dyDescent="0.3">
      <c r="B684" s="179">
        <v>88772</v>
      </c>
      <c r="C684" s="175" t="s">
        <v>793</v>
      </c>
      <c r="F684" s="161"/>
      <c r="K684" s="176"/>
    </row>
    <row r="685" spans="2:11" x14ac:dyDescent="0.3">
      <c r="B685" s="179">
        <v>88774</v>
      </c>
      <c r="C685" s="175" t="s">
        <v>794</v>
      </c>
      <c r="F685" s="161"/>
      <c r="K685" s="176"/>
    </row>
    <row r="686" spans="2:11" x14ac:dyDescent="0.3">
      <c r="B686" s="179">
        <v>88953</v>
      </c>
      <c r="C686" s="175" t="s">
        <v>795</v>
      </c>
      <c r="F686" s="161"/>
      <c r="K686" s="176"/>
    </row>
    <row r="687" spans="2:11" x14ac:dyDescent="0.3">
      <c r="B687" s="179">
        <v>88959</v>
      </c>
      <c r="C687" s="175" t="s">
        <v>796</v>
      </c>
      <c r="F687" s="161"/>
      <c r="K687" s="176"/>
    </row>
    <row r="688" spans="2:11" x14ac:dyDescent="0.3">
      <c r="B688" s="179">
        <v>89474</v>
      </c>
      <c r="C688" s="175" t="s">
        <v>797</v>
      </c>
      <c r="F688" s="161"/>
      <c r="K688" s="176"/>
    </row>
    <row r="689" spans="2:11" x14ac:dyDescent="0.3">
      <c r="B689" s="179">
        <v>89603</v>
      </c>
      <c r="C689" s="175" t="s">
        <v>798</v>
      </c>
      <c r="F689" s="161"/>
      <c r="K689" s="176"/>
    </row>
    <row r="690" spans="2:11" x14ac:dyDescent="0.3">
      <c r="B690" s="179">
        <v>90753</v>
      </c>
      <c r="C690" s="175" t="s">
        <v>799</v>
      </c>
      <c r="F690" s="161"/>
      <c r="K690" s="176"/>
    </row>
    <row r="691" spans="2:11" x14ac:dyDescent="0.3">
      <c r="B691" s="179">
        <v>91068</v>
      </c>
      <c r="C691" s="175" t="s">
        <v>800</v>
      </c>
      <c r="F691" s="161"/>
      <c r="K691" s="176"/>
    </row>
    <row r="692" spans="2:11" x14ac:dyDescent="0.3">
      <c r="B692" s="179">
        <v>2007</v>
      </c>
      <c r="C692" s="175" t="s">
        <v>801</v>
      </c>
      <c r="F692" s="161"/>
      <c r="K692" s="176"/>
    </row>
    <row r="693" spans="2:11" x14ac:dyDescent="0.3">
      <c r="B693" s="179">
        <v>2042</v>
      </c>
      <c r="C693" s="175" t="s">
        <v>802</v>
      </c>
      <c r="F693" s="161"/>
      <c r="K693" s="176"/>
    </row>
    <row r="694" spans="2:11" x14ac:dyDescent="0.3">
      <c r="B694" s="179">
        <v>2168</v>
      </c>
      <c r="C694" s="175" t="s">
        <v>771</v>
      </c>
      <c r="F694" s="161"/>
      <c r="K694" s="176"/>
    </row>
    <row r="695" spans="2:11" x14ac:dyDescent="0.3">
      <c r="B695" s="179">
        <v>2510</v>
      </c>
      <c r="C695" s="175" t="s">
        <v>803</v>
      </c>
      <c r="F695" s="161"/>
      <c r="K695" s="176"/>
    </row>
    <row r="696" spans="2:11" x14ac:dyDescent="0.3">
      <c r="B696" s="179">
        <v>3312</v>
      </c>
      <c r="C696" s="175" t="s">
        <v>804</v>
      </c>
      <c r="F696" s="161"/>
      <c r="K696" s="176"/>
    </row>
    <row r="697" spans="2:11" x14ac:dyDescent="0.3">
      <c r="B697" s="179">
        <v>3769</v>
      </c>
      <c r="C697" s="175" t="s">
        <v>805</v>
      </c>
      <c r="F697" s="161"/>
      <c r="K697" s="176"/>
    </row>
    <row r="698" spans="2:11" x14ac:dyDescent="0.3">
      <c r="B698" s="179">
        <v>3794</v>
      </c>
      <c r="C698" s="175" t="s">
        <v>806</v>
      </c>
      <c r="F698" s="161"/>
      <c r="K698" s="176"/>
    </row>
    <row r="699" spans="2:11" x14ac:dyDescent="0.3">
      <c r="B699" s="179">
        <v>4023</v>
      </c>
      <c r="C699" s="175" t="s">
        <v>807</v>
      </c>
      <c r="F699" s="161"/>
      <c r="K699" s="176"/>
    </row>
    <row r="700" spans="2:11" x14ac:dyDescent="0.3">
      <c r="B700" s="179">
        <v>4773</v>
      </c>
      <c r="C700" s="175" t="s">
        <v>808</v>
      </c>
      <c r="F700" s="161"/>
      <c r="K700" s="176"/>
    </row>
    <row r="701" spans="2:11" x14ac:dyDescent="0.3">
      <c r="B701" s="179">
        <v>5993</v>
      </c>
      <c r="C701" s="175" t="s">
        <v>809</v>
      </c>
      <c r="F701" s="161"/>
      <c r="K701" s="176"/>
    </row>
    <row r="702" spans="2:11" x14ac:dyDescent="0.3">
      <c r="B702" s="179">
        <v>90796</v>
      </c>
      <c r="C702" s="175" t="s">
        <v>810</v>
      </c>
      <c r="F702" s="161"/>
      <c r="K702" s="176"/>
    </row>
    <row r="703" spans="2:11" x14ac:dyDescent="0.3">
      <c r="B703" s="179">
        <v>100755</v>
      </c>
      <c r="C703" s="175" t="s">
        <v>811</v>
      </c>
      <c r="F703" s="161"/>
      <c r="K703" s="176"/>
    </row>
    <row r="704" spans="2:11" x14ac:dyDescent="0.3">
      <c r="B704" s="179">
        <v>101101</v>
      </c>
      <c r="C704" s="175" t="s">
        <v>812</v>
      </c>
      <c r="F704" s="161"/>
      <c r="K704" s="176"/>
    </row>
    <row r="705" spans="2:11" x14ac:dyDescent="0.3">
      <c r="B705" s="179">
        <v>101103</v>
      </c>
      <c r="C705" s="175" t="s">
        <v>813</v>
      </c>
      <c r="F705" s="161"/>
      <c r="K705" s="176"/>
    </row>
    <row r="706" spans="2:11" x14ac:dyDescent="0.3">
      <c r="B706" s="179">
        <v>83822</v>
      </c>
      <c r="C706" s="175" t="s">
        <v>814</v>
      </c>
      <c r="F706" s="161"/>
      <c r="K706" s="176"/>
    </row>
    <row r="707" spans="2:11" x14ac:dyDescent="0.3">
      <c r="B707" s="179">
        <v>86069</v>
      </c>
      <c r="C707" s="175" t="s">
        <v>815</v>
      </c>
      <c r="F707" s="161"/>
      <c r="K707" s="176"/>
    </row>
    <row r="708" spans="2:11" x14ac:dyDescent="0.3">
      <c r="B708" s="179">
        <v>86099</v>
      </c>
      <c r="C708" s="175" t="s">
        <v>816</v>
      </c>
      <c r="F708" s="161"/>
      <c r="K708" s="176"/>
    </row>
    <row r="709" spans="2:11" x14ac:dyDescent="0.3">
      <c r="B709" s="179">
        <v>86737</v>
      </c>
      <c r="C709" s="175" t="s">
        <v>817</v>
      </c>
      <c r="F709" s="161"/>
      <c r="K709" s="176"/>
    </row>
    <row r="710" spans="2:11" x14ac:dyDescent="0.3">
      <c r="B710" s="179">
        <v>88356</v>
      </c>
      <c r="C710" s="175" t="s">
        <v>818</v>
      </c>
      <c r="F710" s="161"/>
      <c r="K710" s="176"/>
    </row>
    <row r="711" spans="2:11" x14ac:dyDescent="0.3">
      <c r="B711" s="179">
        <v>89072</v>
      </c>
      <c r="C711" s="175" t="s">
        <v>819</v>
      </c>
      <c r="F711" s="161"/>
      <c r="K711" s="176"/>
    </row>
    <row r="712" spans="2:11" x14ac:dyDescent="0.3">
      <c r="B712" s="179">
        <v>89280</v>
      </c>
      <c r="C712" s="175" t="s">
        <v>820</v>
      </c>
      <c r="F712" s="161"/>
      <c r="K712" s="176"/>
    </row>
    <row r="713" spans="2:11" x14ac:dyDescent="0.3">
      <c r="B713" s="179">
        <v>89289</v>
      </c>
      <c r="C713" s="175" t="s">
        <v>821</v>
      </c>
      <c r="F713" s="161"/>
      <c r="K713" s="176"/>
    </row>
    <row r="714" spans="2:11" x14ac:dyDescent="0.3">
      <c r="B714" s="179">
        <v>89335</v>
      </c>
      <c r="C714" s="175" t="s">
        <v>822</v>
      </c>
      <c r="F714" s="161"/>
      <c r="K714" s="176"/>
    </row>
    <row r="715" spans="2:11" x14ac:dyDescent="0.3">
      <c r="B715" s="179">
        <v>89521</v>
      </c>
      <c r="C715" s="175" t="s">
        <v>823</v>
      </c>
      <c r="F715" s="161"/>
      <c r="K715" s="176"/>
    </row>
    <row r="716" spans="2:11" x14ac:dyDescent="0.3">
      <c r="B716" s="179">
        <v>89522</v>
      </c>
      <c r="C716" s="175" t="s">
        <v>824</v>
      </c>
      <c r="F716" s="161"/>
      <c r="K716" s="176"/>
    </row>
    <row r="717" spans="2:11" x14ac:dyDescent="0.3">
      <c r="B717" s="179">
        <v>89523</v>
      </c>
      <c r="C717" s="175" t="s">
        <v>825</v>
      </c>
      <c r="F717" s="161"/>
      <c r="K717" s="176"/>
    </row>
    <row r="718" spans="2:11" x14ac:dyDescent="0.3">
      <c r="B718" s="179">
        <v>89551</v>
      </c>
      <c r="C718" s="175" t="s">
        <v>826</v>
      </c>
      <c r="F718" s="161"/>
      <c r="K718" s="176"/>
    </row>
    <row r="719" spans="2:11" x14ac:dyDescent="0.3">
      <c r="B719" s="179">
        <v>90248</v>
      </c>
      <c r="C719" s="175" t="s">
        <v>827</v>
      </c>
      <c r="F719" s="161"/>
      <c r="K719" s="176"/>
    </row>
    <row r="720" spans="2:11" x14ac:dyDescent="0.3">
      <c r="B720" s="179">
        <v>1158</v>
      </c>
      <c r="C720" s="175" t="s">
        <v>828</v>
      </c>
      <c r="F720" s="161"/>
      <c r="K720" s="176"/>
    </row>
    <row r="721" spans="2:11" x14ac:dyDescent="0.3">
      <c r="B721" s="179">
        <v>2123</v>
      </c>
      <c r="C721" s="175" t="s">
        <v>829</v>
      </c>
      <c r="F721" s="161"/>
      <c r="K721" s="176"/>
    </row>
    <row r="722" spans="2:11" x14ac:dyDescent="0.3">
      <c r="B722" s="179">
        <v>2679</v>
      </c>
      <c r="C722" s="175" t="s">
        <v>830</v>
      </c>
      <c r="F722" s="161"/>
      <c r="K722" s="176"/>
    </row>
    <row r="723" spans="2:11" x14ac:dyDescent="0.3">
      <c r="B723" s="179">
        <v>2726</v>
      </c>
      <c r="C723" s="175" t="s">
        <v>831</v>
      </c>
      <c r="F723" s="161"/>
      <c r="K723" s="176"/>
    </row>
    <row r="724" spans="2:11" x14ac:dyDescent="0.3">
      <c r="B724" s="179">
        <v>2758</v>
      </c>
      <c r="C724" s="175" t="s">
        <v>832</v>
      </c>
      <c r="F724" s="161"/>
      <c r="K724" s="176"/>
    </row>
    <row r="725" spans="2:11" x14ac:dyDescent="0.3">
      <c r="B725" s="179">
        <v>2971</v>
      </c>
      <c r="C725" s="175" t="s">
        <v>833</v>
      </c>
      <c r="F725" s="161"/>
      <c r="K725" s="176"/>
    </row>
    <row r="726" spans="2:11" x14ac:dyDescent="0.3">
      <c r="B726" s="179">
        <v>3912</v>
      </c>
      <c r="C726" s="175" t="s">
        <v>834</v>
      </c>
      <c r="F726" s="161"/>
      <c r="K726" s="176"/>
    </row>
    <row r="727" spans="2:11" x14ac:dyDescent="0.3">
      <c r="B727" s="179">
        <v>3958</v>
      </c>
      <c r="C727" s="175" t="s">
        <v>835</v>
      </c>
      <c r="F727" s="161"/>
      <c r="K727" s="176"/>
    </row>
    <row r="728" spans="2:11" x14ac:dyDescent="0.3">
      <c r="B728" s="179">
        <v>4066</v>
      </c>
      <c r="C728" s="175" t="s">
        <v>836</v>
      </c>
      <c r="F728" s="161"/>
      <c r="K728" s="176"/>
    </row>
    <row r="729" spans="2:11" x14ac:dyDescent="0.3">
      <c r="B729" s="179">
        <v>4067</v>
      </c>
      <c r="C729" s="175" t="s">
        <v>837</v>
      </c>
      <c r="F729" s="161"/>
      <c r="K729" s="176"/>
    </row>
    <row r="730" spans="2:11" x14ac:dyDescent="0.3">
      <c r="B730" s="179">
        <v>5770</v>
      </c>
      <c r="C730" s="175" t="s">
        <v>838</v>
      </c>
      <c r="F730" s="161"/>
      <c r="K730" s="176"/>
    </row>
    <row r="731" spans="2:11" x14ac:dyDescent="0.3">
      <c r="B731" s="179">
        <v>5968</v>
      </c>
      <c r="C731" s="175" t="s">
        <v>839</v>
      </c>
      <c r="F731" s="161"/>
      <c r="K731" s="176"/>
    </row>
    <row r="732" spans="2:11" x14ac:dyDescent="0.3">
      <c r="B732" s="179">
        <v>6168</v>
      </c>
      <c r="C732" s="175" t="s">
        <v>840</v>
      </c>
      <c r="F732" s="161"/>
      <c r="K732" s="176"/>
    </row>
    <row r="733" spans="2:11" x14ac:dyDescent="0.3">
      <c r="B733" s="179">
        <v>6267</v>
      </c>
      <c r="C733" s="175" t="s">
        <v>841</v>
      </c>
      <c r="F733" s="161"/>
      <c r="K733" s="176"/>
    </row>
    <row r="734" spans="2:11" x14ac:dyDescent="0.3">
      <c r="B734" s="179">
        <v>8525</v>
      </c>
      <c r="C734" s="175" t="s">
        <v>842</v>
      </c>
      <c r="F734" s="161"/>
      <c r="K734" s="176"/>
    </row>
    <row r="735" spans="2:11" x14ac:dyDescent="0.3">
      <c r="B735" s="179">
        <v>28879</v>
      </c>
      <c r="C735" s="175" t="s">
        <v>843</v>
      </c>
      <c r="F735" s="161"/>
      <c r="K735" s="176"/>
    </row>
    <row r="736" spans="2:11" x14ac:dyDescent="0.3">
      <c r="B736" s="179">
        <v>91188</v>
      </c>
      <c r="C736" s="175" t="s">
        <v>844</v>
      </c>
      <c r="F736" s="161"/>
      <c r="K736" s="176"/>
    </row>
    <row r="737" spans="2:11" x14ac:dyDescent="0.3">
      <c r="B737" s="179">
        <v>91189</v>
      </c>
      <c r="C737" s="175" t="s">
        <v>845</v>
      </c>
      <c r="F737" s="161"/>
      <c r="K737" s="176"/>
    </row>
    <row r="738" spans="2:11" x14ac:dyDescent="0.3">
      <c r="B738" s="179">
        <v>100918</v>
      </c>
      <c r="C738" s="175" t="s">
        <v>846</v>
      </c>
      <c r="F738" s="161"/>
      <c r="K738" s="176"/>
    </row>
    <row r="739" spans="2:11" x14ac:dyDescent="0.3">
      <c r="B739" s="179">
        <v>100924</v>
      </c>
      <c r="C739" s="175" t="s">
        <v>847</v>
      </c>
      <c r="F739" s="161"/>
      <c r="K739" s="176"/>
    </row>
    <row r="740" spans="2:11" x14ac:dyDescent="0.3">
      <c r="B740" s="179">
        <v>100926</v>
      </c>
      <c r="C740" s="175" t="s">
        <v>848</v>
      </c>
      <c r="F740" s="161"/>
      <c r="K740" s="176"/>
    </row>
    <row r="741" spans="2:11" x14ac:dyDescent="0.3">
      <c r="B741" s="179">
        <v>100937</v>
      </c>
      <c r="C741" s="175" t="s">
        <v>849</v>
      </c>
      <c r="F741" s="161"/>
      <c r="K741" s="176"/>
    </row>
    <row r="742" spans="2:11" x14ac:dyDescent="0.3">
      <c r="B742" s="179">
        <v>100944</v>
      </c>
      <c r="C742" s="175" t="s">
        <v>850</v>
      </c>
      <c r="F742" s="161"/>
      <c r="K742" s="176"/>
    </row>
    <row r="743" spans="2:11" x14ac:dyDescent="0.3">
      <c r="B743" s="179">
        <v>101131</v>
      </c>
      <c r="C743" s="175" t="s">
        <v>851</v>
      </c>
      <c r="F743" s="161"/>
      <c r="K743" s="176"/>
    </row>
    <row r="744" spans="2:11" x14ac:dyDescent="0.3">
      <c r="B744" s="179">
        <v>101132</v>
      </c>
      <c r="C744" s="175" t="s">
        <v>852</v>
      </c>
      <c r="F744" s="161"/>
      <c r="K744" s="176"/>
    </row>
    <row r="745" spans="2:11" x14ac:dyDescent="0.3">
      <c r="B745" s="179">
        <v>101133</v>
      </c>
      <c r="C745" s="175" t="s">
        <v>853</v>
      </c>
      <c r="F745" s="161"/>
      <c r="K745" s="176"/>
    </row>
    <row r="746" spans="2:11" x14ac:dyDescent="0.3">
      <c r="B746" s="179">
        <v>101411</v>
      </c>
      <c r="C746" s="175" t="s">
        <v>854</v>
      </c>
      <c r="F746" s="161"/>
      <c r="K746" s="176"/>
    </row>
    <row r="747" spans="2:11" x14ac:dyDescent="0.3">
      <c r="B747" s="179">
        <v>88247</v>
      </c>
      <c r="C747" s="175" t="s">
        <v>855</v>
      </c>
      <c r="F747" s="161"/>
      <c r="K747" s="176"/>
    </row>
    <row r="748" spans="2:11" x14ac:dyDescent="0.3">
      <c r="B748" s="179">
        <v>88326</v>
      </c>
      <c r="C748" s="175" t="s">
        <v>856</v>
      </c>
      <c r="F748" s="161"/>
      <c r="K748" s="176"/>
    </row>
    <row r="749" spans="2:11" x14ac:dyDescent="0.3">
      <c r="B749" s="179">
        <v>88339</v>
      </c>
      <c r="C749" s="175" t="s">
        <v>857</v>
      </c>
      <c r="F749" s="161"/>
      <c r="K749" s="176"/>
    </row>
    <row r="750" spans="2:11" x14ac:dyDescent="0.3">
      <c r="B750" s="179">
        <v>88340</v>
      </c>
      <c r="C750" s="175" t="s">
        <v>858</v>
      </c>
      <c r="F750" s="161"/>
      <c r="K750" s="176"/>
    </row>
    <row r="751" spans="2:11" x14ac:dyDescent="0.3">
      <c r="B751" s="179">
        <v>88351</v>
      </c>
      <c r="C751" s="175" t="s">
        <v>859</v>
      </c>
      <c r="F751" s="161"/>
      <c r="K751" s="176"/>
    </row>
    <row r="752" spans="2:11" x14ac:dyDescent="0.3">
      <c r="B752" s="179">
        <v>88381</v>
      </c>
      <c r="C752" s="175" t="s">
        <v>860</v>
      </c>
      <c r="F752" s="161"/>
      <c r="K752" s="176"/>
    </row>
    <row r="753" spans="2:11" x14ac:dyDescent="0.3">
      <c r="B753" s="179">
        <v>88436</v>
      </c>
      <c r="C753" s="175" t="s">
        <v>861</v>
      </c>
      <c r="F753" s="161"/>
      <c r="K753" s="176"/>
    </row>
    <row r="754" spans="2:11" x14ac:dyDescent="0.3">
      <c r="B754" s="179">
        <v>90242</v>
      </c>
      <c r="C754" s="175" t="s">
        <v>862</v>
      </c>
      <c r="F754" s="161"/>
      <c r="K754" s="176"/>
    </row>
    <row r="755" spans="2:11" x14ac:dyDescent="0.3">
      <c r="B755" s="179">
        <v>90521</v>
      </c>
      <c r="C755" s="175" t="s">
        <v>863</v>
      </c>
      <c r="F755" s="161"/>
      <c r="K755" s="176"/>
    </row>
    <row r="756" spans="2:11" x14ac:dyDescent="0.3">
      <c r="B756" s="179">
        <v>73676</v>
      </c>
      <c r="C756" s="175" t="s">
        <v>864</v>
      </c>
      <c r="F756" s="161"/>
      <c r="K756" s="176"/>
    </row>
    <row r="757" spans="2:11" x14ac:dyDescent="0.3">
      <c r="B757" s="179">
        <v>101580</v>
      </c>
      <c r="C757" s="175" t="s">
        <v>865</v>
      </c>
      <c r="F757" s="161"/>
      <c r="K757" s="176"/>
    </row>
    <row r="758" spans="2:11" x14ac:dyDescent="0.3">
      <c r="B758" s="179">
        <v>76496</v>
      </c>
      <c r="C758" s="175" t="s">
        <v>866</v>
      </c>
      <c r="F758" s="161"/>
      <c r="K758" s="176"/>
    </row>
    <row r="759" spans="2:11" x14ac:dyDescent="0.3">
      <c r="B759" s="179">
        <v>87200</v>
      </c>
      <c r="C759" s="175" t="s">
        <v>867</v>
      </c>
      <c r="F759" s="161"/>
      <c r="K759" s="176"/>
    </row>
    <row r="760" spans="2:11" x14ac:dyDescent="0.3">
      <c r="B760" s="179">
        <v>87786</v>
      </c>
      <c r="C760" s="175" t="s">
        <v>868</v>
      </c>
      <c r="F760" s="161"/>
      <c r="K760" s="176"/>
    </row>
    <row r="761" spans="2:11" x14ac:dyDescent="0.3">
      <c r="B761" s="179">
        <v>88372</v>
      </c>
      <c r="C761" s="175" t="s">
        <v>869</v>
      </c>
      <c r="F761" s="161"/>
      <c r="K761" s="176"/>
    </row>
    <row r="762" spans="2:11" x14ac:dyDescent="0.3">
      <c r="B762" s="179">
        <v>89608</v>
      </c>
      <c r="C762" s="175" t="s">
        <v>870</v>
      </c>
      <c r="F762" s="161"/>
      <c r="K762" s="176"/>
    </row>
    <row r="763" spans="2:11" x14ac:dyDescent="0.3">
      <c r="B763" s="179">
        <v>89787</v>
      </c>
      <c r="C763" s="175" t="s">
        <v>871</v>
      </c>
      <c r="F763" s="161"/>
      <c r="K763" s="176"/>
    </row>
    <row r="764" spans="2:11" x14ac:dyDescent="0.3">
      <c r="B764" s="179">
        <v>89789</v>
      </c>
      <c r="C764" s="175" t="s">
        <v>872</v>
      </c>
      <c r="F764" s="161"/>
      <c r="K764" s="176"/>
    </row>
    <row r="765" spans="2:11" x14ac:dyDescent="0.3">
      <c r="B765" s="179">
        <v>89792</v>
      </c>
      <c r="C765" s="175" t="s">
        <v>873</v>
      </c>
      <c r="F765" s="161"/>
      <c r="K765" s="176"/>
    </row>
    <row r="766" spans="2:11" x14ac:dyDescent="0.3">
      <c r="B766" s="179">
        <v>90015</v>
      </c>
      <c r="C766" s="175" t="s">
        <v>874</v>
      </c>
      <c r="F766" s="161"/>
      <c r="K766" s="176"/>
    </row>
    <row r="767" spans="2:11" x14ac:dyDescent="0.3">
      <c r="B767" s="179">
        <v>90295</v>
      </c>
      <c r="C767" s="175" t="s">
        <v>875</v>
      </c>
      <c r="F767" s="161"/>
      <c r="K767" s="176"/>
    </row>
    <row r="768" spans="2:11" x14ac:dyDescent="0.3">
      <c r="B768" s="179">
        <v>90296</v>
      </c>
      <c r="C768" s="175" t="s">
        <v>876</v>
      </c>
      <c r="F768" s="161"/>
      <c r="K768" s="176"/>
    </row>
    <row r="769" spans="2:11" x14ac:dyDescent="0.3">
      <c r="B769" s="179">
        <v>90545</v>
      </c>
      <c r="C769" s="175" t="s">
        <v>877</v>
      </c>
      <c r="F769" s="161"/>
      <c r="K769" s="176"/>
    </row>
    <row r="770" spans="2:11" x14ac:dyDescent="0.3">
      <c r="B770" s="179">
        <v>91253</v>
      </c>
      <c r="C770" s="175" t="s">
        <v>878</v>
      </c>
      <c r="F770" s="161"/>
      <c r="K770" s="176"/>
    </row>
    <row r="771" spans="2:11" x14ac:dyDescent="0.3">
      <c r="B771" s="179">
        <v>91254</v>
      </c>
      <c r="C771" s="175" t="s">
        <v>879</v>
      </c>
      <c r="F771" s="161"/>
      <c r="K771" s="176"/>
    </row>
    <row r="772" spans="2:11" x14ac:dyDescent="0.3">
      <c r="B772" s="179">
        <v>100414</v>
      </c>
      <c r="C772" s="175" t="s">
        <v>880</v>
      </c>
      <c r="F772" s="161"/>
      <c r="K772" s="176"/>
    </row>
    <row r="773" spans="2:11" x14ac:dyDescent="0.3">
      <c r="B773" s="179">
        <v>100443</v>
      </c>
      <c r="C773" s="175" t="s">
        <v>881</v>
      </c>
      <c r="F773" s="161"/>
      <c r="K773" s="176"/>
    </row>
    <row r="774" spans="2:11" x14ac:dyDescent="0.3">
      <c r="B774" s="179">
        <v>100997</v>
      </c>
      <c r="C774" s="175" t="s">
        <v>882</v>
      </c>
      <c r="F774" s="161"/>
      <c r="K774" s="176"/>
    </row>
    <row r="775" spans="2:11" x14ac:dyDescent="0.3">
      <c r="B775" s="179">
        <v>100998</v>
      </c>
      <c r="C775" s="175" t="s">
        <v>883</v>
      </c>
      <c r="F775" s="161"/>
      <c r="K775" s="176"/>
    </row>
    <row r="776" spans="2:11" x14ac:dyDescent="0.3">
      <c r="B776" s="179">
        <v>101252</v>
      </c>
      <c r="C776" s="175" t="s">
        <v>884</v>
      </c>
      <c r="F776" s="161"/>
      <c r="K776" s="176"/>
    </row>
    <row r="777" spans="2:11" x14ac:dyDescent="0.3">
      <c r="B777" s="179">
        <v>2762</v>
      </c>
      <c r="C777" s="175" t="s">
        <v>885</v>
      </c>
      <c r="F777" s="161"/>
      <c r="K777" s="176"/>
    </row>
    <row r="778" spans="2:11" x14ac:dyDescent="0.3">
      <c r="B778" s="179">
        <v>21725</v>
      </c>
      <c r="C778" s="175" t="s">
        <v>886</v>
      </c>
      <c r="F778" s="161"/>
      <c r="K778" s="176"/>
    </row>
    <row r="779" spans="2:11" x14ac:dyDescent="0.3">
      <c r="B779" s="179">
        <v>25489</v>
      </c>
      <c r="C779" s="175" t="s">
        <v>887</v>
      </c>
      <c r="F779" s="161"/>
      <c r="K779" s="176"/>
    </row>
    <row r="780" spans="2:11" x14ac:dyDescent="0.3">
      <c r="B780" s="179">
        <v>37846</v>
      </c>
      <c r="C780" s="175" t="s">
        <v>888</v>
      </c>
      <c r="F780" s="161"/>
      <c r="K780" s="176"/>
    </row>
    <row r="781" spans="2:11" x14ac:dyDescent="0.3">
      <c r="B781" s="179">
        <v>42701</v>
      </c>
      <c r="C781" s="175" t="s">
        <v>889</v>
      </c>
      <c r="F781" s="161"/>
      <c r="K781" s="176"/>
    </row>
    <row r="782" spans="2:11" x14ac:dyDescent="0.3">
      <c r="B782" s="179">
        <v>52474</v>
      </c>
      <c r="C782" s="175" t="s">
        <v>890</v>
      </c>
      <c r="F782" s="161"/>
      <c r="K782" s="176"/>
    </row>
    <row r="783" spans="2:11" x14ac:dyDescent="0.3">
      <c r="B783" s="179">
        <v>90292</v>
      </c>
      <c r="C783" s="175" t="s">
        <v>891</v>
      </c>
      <c r="F783" s="161"/>
      <c r="K783" s="176"/>
    </row>
    <row r="784" spans="2:11" x14ac:dyDescent="0.3">
      <c r="B784" s="179">
        <v>90964</v>
      </c>
      <c r="C784" s="175" t="s">
        <v>892</v>
      </c>
      <c r="F784" s="161"/>
      <c r="K784" s="176"/>
    </row>
    <row r="785" spans="2:11" x14ac:dyDescent="0.3">
      <c r="B785" s="179">
        <v>100957</v>
      </c>
      <c r="C785" s="175" t="s">
        <v>893</v>
      </c>
      <c r="F785" s="161"/>
      <c r="K785" s="176"/>
    </row>
    <row r="786" spans="2:11" x14ac:dyDescent="0.3">
      <c r="B786" s="179">
        <v>100999</v>
      </c>
      <c r="C786" s="175" t="s">
        <v>894</v>
      </c>
      <c r="F786" s="161"/>
      <c r="K786" s="176"/>
    </row>
    <row r="787" spans="2:11" x14ac:dyDescent="0.3">
      <c r="B787" s="179">
        <v>101558</v>
      </c>
      <c r="C787" s="175" t="s">
        <v>895</v>
      </c>
      <c r="F787" s="161"/>
      <c r="K787" s="176"/>
    </row>
    <row r="788" spans="2:11" x14ac:dyDescent="0.3">
      <c r="B788" s="179">
        <v>86067</v>
      </c>
      <c r="C788" s="175" t="s">
        <v>896</v>
      </c>
      <c r="F788" s="161"/>
      <c r="K788" s="176"/>
    </row>
    <row r="789" spans="2:11" x14ac:dyDescent="0.3">
      <c r="B789" s="179">
        <v>87733</v>
      </c>
      <c r="C789" s="175" t="s">
        <v>897</v>
      </c>
      <c r="F789" s="161"/>
      <c r="K789" s="176"/>
    </row>
    <row r="790" spans="2:11" x14ac:dyDescent="0.3">
      <c r="B790" s="179">
        <v>88129</v>
      </c>
      <c r="C790" s="175" t="s">
        <v>898</v>
      </c>
      <c r="F790" s="161"/>
      <c r="K790" s="176"/>
    </row>
    <row r="791" spans="2:11" x14ac:dyDescent="0.3">
      <c r="B791" s="179">
        <v>88193</v>
      </c>
      <c r="C791" s="175" t="s">
        <v>899</v>
      </c>
      <c r="F791" s="161"/>
      <c r="K791" s="176"/>
    </row>
    <row r="792" spans="2:11" x14ac:dyDescent="0.3">
      <c r="B792" s="179">
        <v>89698</v>
      </c>
      <c r="C792" s="175" t="s">
        <v>900</v>
      </c>
      <c r="F792" s="161"/>
      <c r="K792" s="176"/>
    </row>
    <row r="793" spans="2:11" x14ac:dyDescent="0.3">
      <c r="B793" s="179">
        <v>89778</v>
      </c>
      <c r="C793" s="175" t="s">
        <v>901</v>
      </c>
      <c r="F793" s="161"/>
      <c r="K793" s="176"/>
    </row>
    <row r="794" spans="2:11" x14ac:dyDescent="0.3">
      <c r="B794" s="179">
        <v>90793</v>
      </c>
      <c r="C794" s="175" t="s">
        <v>902</v>
      </c>
      <c r="F794" s="161"/>
      <c r="K794" s="176"/>
    </row>
    <row r="795" spans="2:11" x14ac:dyDescent="0.3">
      <c r="B795" s="179">
        <v>6286</v>
      </c>
      <c r="C795" s="175" t="s">
        <v>903</v>
      </c>
      <c r="F795" s="161"/>
      <c r="K795" s="176"/>
    </row>
    <row r="796" spans="2:11" x14ac:dyDescent="0.3">
      <c r="B796" s="179">
        <v>6417</v>
      </c>
      <c r="C796" s="175" t="s">
        <v>904</v>
      </c>
      <c r="F796" s="161"/>
      <c r="K796" s="176"/>
    </row>
    <row r="797" spans="2:11" x14ac:dyDescent="0.3">
      <c r="B797" s="179">
        <v>7842</v>
      </c>
      <c r="C797" s="175" t="s">
        <v>905</v>
      </c>
      <c r="F797" s="161"/>
      <c r="K797" s="176"/>
    </row>
    <row r="798" spans="2:11" x14ac:dyDescent="0.3">
      <c r="B798" s="179">
        <v>14160</v>
      </c>
      <c r="C798" s="175" t="s">
        <v>906</v>
      </c>
      <c r="F798" s="161"/>
      <c r="K798" s="176"/>
    </row>
    <row r="799" spans="2:11" x14ac:dyDescent="0.3">
      <c r="B799" s="179">
        <v>14870</v>
      </c>
      <c r="C799" s="175" t="s">
        <v>907</v>
      </c>
      <c r="F799" s="161"/>
      <c r="K799" s="176"/>
    </row>
    <row r="800" spans="2:11" x14ac:dyDescent="0.3">
      <c r="B800" s="179">
        <v>90794</v>
      </c>
      <c r="C800" s="175" t="s">
        <v>908</v>
      </c>
      <c r="F800" s="161"/>
      <c r="K800" s="176"/>
    </row>
    <row r="801" spans="2:11" x14ac:dyDescent="0.3">
      <c r="B801" s="179">
        <v>90795</v>
      </c>
      <c r="C801" s="175" t="s">
        <v>909</v>
      </c>
      <c r="F801" s="161"/>
      <c r="K801" s="176"/>
    </row>
    <row r="802" spans="2:11" x14ac:dyDescent="0.3">
      <c r="B802" s="179">
        <v>101048</v>
      </c>
      <c r="C802" s="175" t="s">
        <v>910</v>
      </c>
      <c r="F802" s="161"/>
      <c r="K802" s="176"/>
    </row>
    <row r="803" spans="2:11" x14ac:dyDescent="0.3">
      <c r="B803" s="179">
        <v>84976</v>
      </c>
      <c r="C803" s="175" t="s">
        <v>911</v>
      </c>
      <c r="F803" s="161"/>
      <c r="K803" s="176"/>
    </row>
    <row r="804" spans="2:11" x14ac:dyDescent="0.3">
      <c r="B804" s="179">
        <v>86049</v>
      </c>
      <c r="C804" s="175" t="s">
        <v>912</v>
      </c>
      <c r="F804" s="161"/>
      <c r="K804" s="176"/>
    </row>
    <row r="805" spans="2:11" x14ac:dyDescent="0.3">
      <c r="B805" s="179">
        <v>86727</v>
      </c>
      <c r="C805" s="175" t="s">
        <v>913</v>
      </c>
      <c r="F805" s="161"/>
      <c r="K805" s="176"/>
    </row>
    <row r="806" spans="2:11" x14ac:dyDescent="0.3">
      <c r="B806" s="179">
        <v>3308</v>
      </c>
      <c r="C806" s="175" t="s">
        <v>914</v>
      </c>
      <c r="F806" s="161"/>
      <c r="K806" s="176"/>
    </row>
    <row r="807" spans="2:11" x14ac:dyDescent="0.3">
      <c r="B807" s="179">
        <v>5359</v>
      </c>
      <c r="C807" s="175" t="s">
        <v>915</v>
      </c>
      <c r="F807" s="161"/>
      <c r="K807" s="176"/>
    </row>
    <row r="808" spans="2:11" x14ac:dyDescent="0.3">
      <c r="B808" s="179">
        <v>5362</v>
      </c>
      <c r="C808" s="175" t="s">
        <v>916</v>
      </c>
      <c r="F808" s="161"/>
      <c r="K808" s="176"/>
    </row>
    <row r="809" spans="2:11" x14ac:dyDescent="0.3">
      <c r="B809" s="179">
        <v>5402</v>
      </c>
      <c r="C809" s="175" t="s">
        <v>917</v>
      </c>
      <c r="F809" s="161"/>
      <c r="K809" s="176"/>
    </row>
    <row r="810" spans="2:11" x14ac:dyDescent="0.3">
      <c r="B810" s="179">
        <v>6219</v>
      </c>
      <c r="C810" s="175" t="s">
        <v>918</v>
      </c>
      <c r="F810" s="161"/>
      <c r="K810" s="176"/>
    </row>
    <row r="811" spans="2:11" x14ac:dyDescent="0.3">
      <c r="B811" s="179">
        <v>6466</v>
      </c>
      <c r="C811" s="175" t="s">
        <v>919</v>
      </c>
      <c r="F811" s="161"/>
      <c r="K811" s="176"/>
    </row>
    <row r="812" spans="2:11" x14ac:dyDescent="0.3">
      <c r="B812" s="179">
        <v>90983</v>
      </c>
      <c r="C812" s="175" t="s">
        <v>920</v>
      </c>
      <c r="F812" s="161"/>
      <c r="K812" s="176"/>
    </row>
    <row r="813" spans="2:11" x14ac:dyDescent="0.3">
      <c r="B813" s="179">
        <v>100508</v>
      </c>
      <c r="C813" s="175" t="s">
        <v>921</v>
      </c>
      <c r="F813" s="161"/>
      <c r="K813" s="176"/>
    </row>
    <row r="814" spans="2:11" x14ac:dyDescent="0.3">
      <c r="B814" s="179">
        <v>101126</v>
      </c>
      <c r="C814" s="175" t="s">
        <v>922</v>
      </c>
      <c r="F814" s="161"/>
      <c r="K814" s="176"/>
    </row>
    <row r="815" spans="2:11" x14ac:dyDescent="0.3">
      <c r="B815" s="179">
        <v>101129</v>
      </c>
      <c r="C815" s="175" t="s">
        <v>923</v>
      </c>
      <c r="F815" s="161"/>
      <c r="K815" s="176"/>
    </row>
    <row r="816" spans="2:11" x14ac:dyDescent="0.3">
      <c r="B816" s="179">
        <v>101543</v>
      </c>
      <c r="C816" s="175" t="s">
        <v>924</v>
      </c>
      <c r="F816" s="161"/>
      <c r="K816" s="176"/>
    </row>
    <row r="817" spans="2:11" x14ac:dyDescent="0.3">
      <c r="B817" s="179">
        <v>86285</v>
      </c>
      <c r="C817" s="175" t="s">
        <v>925</v>
      </c>
      <c r="F817" s="161"/>
      <c r="K817" s="176"/>
    </row>
    <row r="818" spans="2:11" x14ac:dyDescent="0.3">
      <c r="B818" s="179">
        <v>88012</v>
      </c>
      <c r="C818" s="175" t="s">
        <v>926</v>
      </c>
      <c r="F818" s="161"/>
      <c r="K818" s="176"/>
    </row>
    <row r="819" spans="2:11" x14ac:dyDescent="0.3">
      <c r="B819" s="179">
        <v>89476</v>
      </c>
      <c r="C819" s="175" t="s">
        <v>927</v>
      </c>
      <c r="F819" s="161"/>
      <c r="K819" s="176"/>
    </row>
    <row r="820" spans="2:11" x14ac:dyDescent="0.3">
      <c r="B820" s="179">
        <v>89652</v>
      </c>
      <c r="C820" s="175" t="s">
        <v>928</v>
      </c>
      <c r="F820" s="161"/>
      <c r="K820" s="176"/>
    </row>
    <row r="821" spans="2:11" x14ac:dyDescent="0.3">
      <c r="B821" s="179">
        <v>90235</v>
      </c>
      <c r="C821" s="175" t="s">
        <v>929</v>
      </c>
      <c r="F821" s="161"/>
      <c r="K821" s="176"/>
    </row>
    <row r="822" spans="2:11" x14ac:dyDescent="0.3">
      <c r="B822" s="179">
        <v>101066</v>
      </c>
      <c r="C822" s="175" t="s">
        <v>930</v>
      </c>
      <c r="F822" s="161"/>
      <c r="K822" s="176"/>
    </row>
    <row r="823" spans="2:11" x14ac:dyDescent="0.3">
      <c r="B823" s="179">
        <v>1916</v>
      </c>
      <c r="C823" s="175" t="s">
        <v>931</v>
      </c>
      <c r="F823" s="161"/>
      <c r="K823" s="176"/>
    </row>
    <row r="824" spans="2:11" x14ac:dyDescent="0.3">
      <c r="B824" s="179">
        <v>3782</v>
      </c>
      <c r="C824" s="175" t="s">
        <v>932</v>
      </c>
      <c r="F824" s="161"/>
      <c r="K824" s="176"/>
    </row>
    <row r="825" spans="2:11" x14ac:dyDescent="0.3">
      <c r="B825" s="179">
        <v>82252</v>
      </c>
      <c r="C825" s="175" t="s">
        <v>933</v>
      </c>
      <c r="F825" s="161"/>
      <c r="K825" s="176"/>
    </row>
    <row r="826" spans="2:11" x14ac:dyDescent="0.3">
      <c r="B826" s="179">
        <v>100477</v>
      </c>
      <c r="C826" s="175" t="s">
        <v>934</v>
      </c>
      <c r="F826" s="161"/>
      <c r="K826" s="176"/>
    </row>
    <row r="827" spans="2:11" x14ac:dyDescent="0.3">
      <c r="B827" s="179">
        <v>84699</v>
      </c>
      <c r="C827" s="175" t="s">
        <v>935</v>
      </c>
      <c r="F827" s="161"/>
      <c r="K827" s="176"/>
    </row>
    <row r="828" spans="2:11" x14ac:dyDescent="0.3">
      <c r="B828" s="179">
        <v>86816</v>
      </c>
      <c r="C828" s="175" t="s">
        <v>936</v>
      </c>
      <c r="F828" s="161"/>
      <c r="K828" s="176"/>
    </row>
    <row r="829" spans="2:11" x14ac:dyDescent="0.3">
      <c r="B829" s="179">
        <v>89617</v>
      </c>
      <c r="C829" s="175" t="s">
        <v>937</v>
      </c>
      <c r="F829" s="161"/>
      <c r="K829" s="176"/>
    </row>
    <row r="830" spans="2:11" x14ac:dyDescent="0.3">
      <c r="B830" s="179">
        <v>89976</v>
      </c>
      <c r="C830" s="175" t="s">
        <v>938</v>
      </c>
      <c r="F830" s="161"/>
      <c r="K830" s="176"/>
    </row>
    <row r="831" spans="2:11" x14ac:dyDescent="0.3">
      <c r="B831" s="179">
        <v>3772</v>
      </c>
      <c r="C831" s="175" t="s">
        <v>939</v>
      </c>
      <c r="F831" s="161"/>
      <c r="K831" s="176"/>
    </row>
    <row r="832" spans="2:11" x14ac:dyDescent="0.3">
      <c r="B832" s="179">
        <v>11849</v>
      </c>
      <c r="C832" s="175" t="s">
        <v>940</v>
      </c>
      <c r="F832" s="161"/>
      <c r="K832" s="176"/>
    </row>
    <row r="833" spans="2:11" x14ac:dyDescent="0.3">
      <c r="B833" s="179">
        <v>42611</v>
      </c>
      <c r="C833" s="175" t="s">
        <v>941</v>
      </c>
      <c r="F833" s="161"/>
      <c r="K833" s="176"/>
    </row>
    <row r="834" spans="2:11" x14ac:dyDescent="0.3">
      <c r="B834" s="179">
        <v>100553</v>
      </c>
      <c r="C834" s="175" t="s">
        <v>942</v>
      </c>
      <c r="F834" s="161"/>
      <c r="K834" s="176"/>
    </row>
    <row r="835" spans="2:11" x14ac:dyDescent="0.3">
      <c r="B835" s="179">
        <v>100682</v>
      </c>
      <c r="C835" s="175" t="s">
        <v>943</v>
      </c>
      <c r="F835" s="161"/>
      <c r="K835" s="176"/>
    </row>
    <row r="836" spans="2:11" x14ac:dyDescent="0.3">
      <c r="B836" s="179">
        <v>88638</v>
      </c>
      <c r="C836" s="175" t="s">
        <v>944</v>
      </c>
      <c r="F836" s="161"/>
      <c r="K836" s="176"/>
    </row>
    <row r="837" spans="2:11" x14ac:dyDescent="0.3">
      <c r="B837" s="179">
        <v>88737</v>
      </c>
      <c r="C837" s="175" t="s">
        <v>945</v>
      </c>
      <c r="F837" s="161"/>
      <c r="K837" s="176"/>
    </row>
    <row r="838" spans="2:11" x14ac:dyDescent="0.3">
      <c r="B838" s="179">
        <v>88751</v>
      </c>
      <c r="C838" s="175" t="s">
        <v>946</v>
      </c>
      <c r="F838" s="161"/>
      <c r="K838" s="176"/>
    </row>
    <row r="839" spans="2:11" x14ac:dyDescent="0.3">
      <c r="B839" s="179">
        <v>88881</v>
      </c>
      <c r="C839" s="175" t="s">
        <v>947</v>
      </c>
      <c r="F839" s="161"/>
      <c r="K839" s="176"/>
    </row>
    <row r="840" spans="2:11" x14ac:dyDescent="0.3">
      <c r="B840" s="179">
        <v>88885</v>
      </c>
      <c r="C840" s="175" t="s">
        <v>948</v>
      </c>
      <c r="F840" s="161"/>
      <c r="K840" s="176"/>
    </row>
    <row r="841" spans="2:11" x14ac:dyDescent="0.3">
      <c r="B841" s="179">
        <v>88887</v>
      </c>
      <c r="C841" s="175" t="s">
        <v>949</v>
      </c>
      <c r="F841" s="161"/>
      <c r="K841" s="176"/>
    </row>
    <row r="842" spans="2:11" x14ac:dyDescent="0.3">
      <c r="B842" s="179">
        <v>88889</v>
      </c>
      <c r="C842" s="175" t="s">
        <v>950</v>
      </c>
      <c r="F842" s="161"/>
      <c r="K842" s="176"/>
    </row>
    <row r="843" spans="2:11" x14ac:dyDescent="0.3">
      <c r="B843" s="179">
        <v>89249</v>
      </c>
      <c r="C843" s="175" t="s">
        <v>951</v>
      </c>
      <c r="F843" s="161"/>
      <c r="K843" s="176"/>
    </row>
    <row r="844" spans="2:11" x14ac:dyDescent="0.3">
      <c r="B844" s="179">
        <v>89282</v>
      </c>
      <c r="C844" s="175" t="s">
        <v>952</v>
      </c>
      <c r="F844" s="161"/>
      <c r="K844" s="176"/>
    </row>
    <row r="845" spans="2:11" x14ac:dyDescent="0.3">
      <c r="B845" s="179">
        <v>90375</v>
      </c>
      <c r="C845" s="175" t="s">
        <v>953</v>
      </c>
      <c r="F845" s="161"/>
      <c r="K845" s="176"/>
    </row>
    <row r="846" spans="2:11" x14ac:dyDescent="0.3">
      <c r="B846" s="179">
        <v>42711</v>
      </c>
      <c r="C846" s="175" t="s">
        <v>954</v>
      </c>
      <c r="F846" s="161"/>
      <c r="K846" s="176"/>
    </row>
    <row r="847" spans="2:11" x14ac:dyDescent="0.3">
      <c r="B847" s="179">
        <v>70821</v>
      </c>
      <c r="C847" s="175" t="s">
        <v>955</v>
      </c>
      <c r="F847" s="161"/>
      <c r="K847" s="176"/>
    </row>
    <row r="848" spans="2:11" x14ac:dyDescent="0.3">
      <c r="B848" s="179">
        <v>101490</v>
      </c>
      <c r="C848" s="175" t="s">
        <v>956</v>
      </c>
      <c r="F848" s="161"/>
      <c r="K848" s="176"/>
    </row>
    <row r="849" spans="2:11" x14ac:dyDescent="0.3">
      <c r="B849" s="179">
        <v>86561</v>
      </c>
      <c r="C849" s="175" t="s">
        <v>957</v>
      </c>
      <c r="F849" s="161"/>
      <c r="K849" s="176"/>
    </row>
    <row r="850" spans="2:11" x14ac:dyDescent="0.3">
      <c r="B850" s="179">
        <v>87791</v>
      </c>
      <c r="C850" s="175" t="s">
        <v>958</v>
      </c>
      <c r="F850" s="161"/>
      <c r="K850" s="176"/>
    </row>
    <row r="851" spans="2:11" x14ac:dyDescent="0.3">
      <c r="B851" s="179">
        <v>89028</v>
      </c>
      <c r="C851" s="175" t="s">
        <v>959</v>
      </c>
      <c r="F851" s="161"/>
      <c r="K851" s="176"/>
    </row>
    <row r="852" spans="2:11" x14ac:dyDescent="0.3">
      <c r="B852" s="179">
        <v>89030</v>
      </c>
      <c r="C852" s="175" t="s">
        <v>960</v>
      </c>
      <c r="F852" s="161"/>
      <c r="K852" s="176"/>
    </row>
    <row r="853" spans="2:11" x14ac:dyDescent="0.3">
      <c r="B853" s="179">
        <v>89038</v>
      </c>
      <c r="C853" s="175" t="s">
        <v>961</v>
      </c>
      <c r="F853" s="161"/>
      <c r="K853" s="176"/>
    </row>
    <row r="854" spans="2:11" x14ac:dyDescent="0.3">
      <c r="B854" s="179">
        <v>89277</v>
      </c>
      <c r="C854" s="175" t="s">
        <v>962</v>
      </c>
      <c r="F854" s="161"/>
      <c r="K854" s="176"/>
    </row>
    <row r="855" spans="2:11" x14ac:dyDescent="0.3">
      <c r="B855" s="179">
        <v>89279</v>
      </c>
      <c r="C855" s="175" t="s">
        <v>963</v>
      </c>
      <c r="F855" s="161"/>
      <c r="K855" s="176"/>
    </row>
    <row r="856" spans="2:11" x14ac:dyDescent="0.3">
      <c r="B856" s="179">
        <v>90994</v>
      </c>
      <c r="C856" s="175" t="s">
        <v>964</v>
      </c>
      <c r="F856" s="161"/>
      <c r="K856" s="176"/>
    </row>
    <row r="857" spans="2:11" x14ac:dyDescent="0.3">
      <c r="B857" s="179">
        <v>1573</v>
      </c>
      <c r="C857" s="175" t="s">
        <v>965</v>
      </c>
      <c r="F857" s="161"/>
      <c r="K857" s="176"/>
    </row>
    <row r="858" spans="2:11" x14ac:dyDescent="0.3">
      <c r="B858" s="179">
        <v>2280</v>
      </c>
      <c r="C858" s="175" t="s">
        <v>966</v>
      </c>
      <c r="F858" s="161"/>
      <c r="K858" s="176"/>
    </row>
    <row r="859" spans="2:11" x14ac:dyDescent="0.3">
      <c r="B859" s="179">
        <v>2582</v>
      </c>
      <c r="C859" s="175" t="s">
        <v>967</v>
      </c>
      <c r="F859" s="161"/>
      <c r="K859" s="176"/>
    </row>
    <row r="860" spans="2:11" x14ac:dyDescent="0.3">
      <c r="B860" s="179">
        <v>4061</v>
      </c>
      <c r="C860" s="175" t="s">
        <v>968</v>
      </c>
      <c r="F860" s="161"/>
      <c r="K860" s="176"/>
    </row>
    <row r="861" spans="2:11" x14ac:dyDescent="0.3">
      <c r="B861" s="179">
        <v>4758</v>
      </c>
      <c r="C861" s="175" t="s">
        <v>969</v>
      </c>
      <c r="F861" s="161"/>
      <c r="K861" s="176"/>
    </row>
    <row r="862" spans="2:11" x14ac:dyDescent="0.3">
      <c r="B862" s="179">
        <v>25360</v>
      </c>
      <c r="C862" s="175" t="s">
        <v>970</v>
      </c>
      <c r="F862" s="161"/>
      <c r="K862" s="176"/>
    </row>
    <row r="863" spans="2:11" x14ac:dyDescent="0.3">
      <c r="B863" s="179">
        <v>101368</v>
      </c>
      <c r="C863" s="175" t="s">
        <v>971</v>
      </c>
      <c r="F863" s="161"/>
      <c r="K863" s="176"/>
    </row>
    <row r="864" spans="2:11" x14ac:dyDescent="0.3">
      <c r="B864" s="179">
        <v>86668</v>
      </c>
      <c r="C864" s="175" t="s">
        <v>972</v>
      </c>
      <c r="F864" s="161"/>
      <c r="K864" s="176"/>
    </row>
    <row r="865" spans="2:11" x14ac:dyDescent="0.3">
      <c r="B865" s="179">
        <v>87040</v>
      </c>
      <c r="C865" s="175" t="s">
        <v>973</v>
      </c>
      <c r="F865" s="161"/>
      <c r="K865" s="176"/>
    </row>
    <row r="866" spans="2:11" x14ac:dyDescent="0.3">
      <c r="B866" s="179">
        <v>87075</v>
      </c>
      <c r="C866" s="175" t="s">
        <v>974</v>
      </c>
      <c r="F866" s="161"/>
      <c r="K866" s="176"/>
    </row>
    <row r="867" spans="2:11" x14ac:dyDescent="0.3">
      <c r="B867" s="179">
        <v>88719</v>
      </c>
      <c r="C867" s="175" t="s">
        <v>975</v>
      </c>
      <c r="F867" s="161"/>
      <c r="K867" s="176"/>
    </row>
    <row r="868" spans="2:11" x14ac:dyDescent="0.3">
      <c r="B868" s="179">
        <v>88724</v>
      </c>
      <c r="C868" s="175" t="s">
        <v>976</v>
      </c>
      <c r="F868" s="161"/>
      <c r="K868" s="176"/>
    </row>
    <row r="869" spans="2:11" x14ac:dyDescent="0.3">
      <c r="B869" s="179">
        <v>89506</v>
      </c>
      <c r="C869" s="175" t="s">
        <v>977</v>
      </c>
      <c r="F869" s="161"/>
      <c r="K869" s="176"/>
    </row>
    <row r="870" spans="2:11" x14ac:dyDescent="0.3">
      <c r="B870" s="179">
        <v>90603</v>
      </c>
      <c r="C870" s="175" t="s">
        <v>978</v>
      </c>
      <c r="F870" s="161"/>
      <c r="K870" s="176"/>
    </row>
    <row r="871" spans="2:11" x14ac:dyDescent="0.3">
      <c r="B871" s="179">
        <v>2009</v>
      </c>
      <c r="C871" s="175" t="s">
        <v>979</v>
      </c>
      <c r="F871" s="161"/>
      <c r="K871" s="176"/>
    </row>
    <row r="872" spans="2:11" x14ac:dyDescent="0.3">
      <c r="B872" s="179">
        <v>2607</v>
      </c>
      <c r="C872" s="175" t="s">
        <v>980</v>
      </c>
      <c r="F872" s="161"/>
      <c r="K872" s="176"/>
    </row>
    <row r="873" spans="2:11" x14ac:dyDescent="0.3">
      <c r="B873" s="179">
        <v>2794</v>
      </c>
      <c r="C873" s="175" t="s">
        <v>981</v>
      </c>
      <c r="F873" s="161"/>
      <c r="K873" s="176"/>
    </row>
    <row r="874" spans="2:11" x14ac:dyDescent="0.3">
      <c r="B874" s="179">
        <v>2795</v>
      </c>
      <c r="C874" s="175" t="s">
        <v>982</v>
      </c>
      <c r="F874" s="161"/>
      <c r="K874" s="176"/>
    </row>
    <row r="875" spans="2:11" x14ac:dyDescent="0.3">
      <c r="B875" s="179">
        <v>3168</v>
      </c>
      <c r="C875" s="175" t="s">
        <v>983</v>
      </c>
      <c r="F875" s="161"/>
      <c r="K875" s="176"/>
    </row>
    <row r="876" spans="2:11" x14ac:dyDescent="0.3">
      <c r="B876" s="179">
        <v>3763</v>
      </c>
      <c r="C876" s="175" t="s">
        <v>984</v>
      </c>
      <c r="F876" s="161"/>
      <c r="K876" s="176"/>
    </row>
    <row r="877" spans="2:11" x14ac:dyDescent="0.3">
      <c r="B877" s="179">
        <v>3771</v>
      </c>
      <c r="C877" s="175" t="s">
        <v>985</v>
      </c>
      <c r="F877" s="161"/>
      <c r="K877" s="176"/>
    </row>
    <row r="878" spans="2:11" x14ac:dyDescent="0.3">
      <c r="B878" s="179">
        <v>3828</v>
      </c>
      <c r="C878" s="175" t="s">
        <v>986</v>
      </c>
      <c r="F878" s="161"/>
      <c r="K878" s="176"/>
    </row>
    <row r="879" spans="2:11" x14ac:dyDescent="0.3">
      <c r="B879" s="179">
        <v>4926</v>
      </c>
      <c r="C879" s="175" t="s">
        <v>987</v>
      </c>
      <c r="F879" s="161"/>
      <c r="K879" s="176"/>
    </row>
    <row r="880" spans="2:11" x14ac:dyDescent="0.3">
      <c r="B880" s="179">
        <v>5966</v>
      </c>
      <c r="C880" s="175" t="s">
        <v>988</v>
      </c>
      <c r="F880" s="161"/>
      <c r="K880" s="176"/>
    </row>
    <row r="881" spans="2:11" x14ac:dyDescent="0.3">
      <c r="B881" s="179">
        <v>90706</v>
      </c>
      <c r="C881" s="175" t="s">
        <v>989</v>
      </c>
      <c r="F881" s="161"/>
      <c r="K881" s="176"/>
    </row>
    <row r="882" spans="2:11" x14ac:dyDescent="0.3">
      <c r="B882" s="179">
        <v>100752</v>
      </c>
      <c r="C882" s="175" t="s">
        <v>990</v>
      </c>
      <c r="F882" s="161"/>
      <c r="K882" s="176"/>
    </row>
    <row r="883" spans="2:11" x14ac:dyDescent="0.3">
      <c r="B883" s="179">
        <v>88682</v>
      </c>
      <c r="C883" s="175" t="s">
        <v>991</v>
      </c>
      <c r="F883" s="161"/>
      <c r="K883" s="176"/>
    </row>
    <row r="884" spans="2:11" x14ac:dyDescent="0.3">
      <c r="B884" s="179">
        <v>89993</v>
      </c>
      <c r="C884" s="175" t="s">
        <v>992</v>
      </c>
      <c r="F884" s="161"/>
      <c r="K884" s="176"/>
    </row>
    <row r="885" spans="2:11" x14ac:dyDescent="0.3">
      <c r="B885" s="179">
        <v>100475</v>
      </c>
      <c r="C885" s="175" t="s">
        <v>993</v>
      </c>
      <c r="F885" s="161"/>
      <c r="K885" s="176"/>
    </row>
    <row r="886" spans="2:11" x14ac:dyDescent="0.3">
      <c r="B886" s="179">
        <v>100550</v>
      </c>
      <c r="C886" s="175" t="s">
        <v>994</v>
      </c>
      <c r="F886" s="161"/>
      <c r="K886" s="176"/>
    </row>
    <row r="887" spans="2:11" x14ac:dyDescent="0.3">
      <c r="B887" s="179">
        <v>101089</v>
      </c>
      <c r="C887" s="175" t="s">
        <v>995</v>
      </c>
      <c r="F887" s="161"/>
      <c r="K887" s="176"/>
    </row>
    <row r="888" spans="2:11" x14ac:dyDescent="0.3">
      <c r="B888" s="179">
        <v>71816</v>
      </c>
      <c r="C888" s="175" t="s">
        <v>996</v>
      </c>
      <c r="F888" s="161"/>
      <c r="K888" s="176"/>
    </row>
    <row r="889" spans="2:11" x14ac:dyDescent="0.3">
      <c r="B889" s="179">
        <v>100686</v>
      </c>
      <c r="C889" s="175" t="s">
        <v>997</v>
      </c>
      <c r="F889" s="161"/>
      <c r="K889" s="176"/>
    </row>
    <row r="890" spans="2:11" x14ac:dyDescent="0.3">
      <c r="B890" s="179">
        <v>101318</v>
      </c>
      <c r="C890" s="175" t="s">
        <v>998</v>
      </c>
      <c r="F890" s="161"/>
      <c r="K890" s="176"/>
    </row>
    <row r="891" spans="2:11" x14ac:dyDescent="0.3">
      <c r="B891" s="179">
        <v>87183</v>
      </c>
      <c r="C891" s="175" t="s">
        <v>999</v>
      </c>
      <c r="F891" s="161"/>
      <c r="K891" s="176"/>
    </row>
    <row r="892" spans="2:11" x14ac:dyDescent="0.3">
      <c r="B892" s="179">
        <v>90237</v>
      </c>
      <c r="C892" s="175" t="s">
        <v>1000</v>
      </c>
      <c r="F892" s="161"/>
      <c r="K892" s="176"/>
    </row>
    <row r="893" spans="2:11" x14ac:dyDescent="0.3">
      <c r="B893" s="179">
        <v>90593</v>
      </c>
      <c r="C893" s="175" t="s">
        <v>1001</v>
      </c>
      <c r="F893" s="161"/>
      <c r="K893" s="176"/>
    </row>
    <row r="894" spans="2:11" x14ac:dyDescent="0.3">
      <c r="B894" s="179">
        <v>100560</v>
      </c>
      <c r="C894" s="175" t="s">
        <v>1002</v>
      </c>
      <c r="F894" s="161"/>
      <c r="K894" s="176"/>
    </row>
    <row r="895" spans="2:11" x14ac:dyDescent="0.3">
      <c r="B895" s="179">
        <v>5768</v>
      </c>
      <c r="C895" s="175" t="s">
        <v>1003</v>
      </c>
      <c r="F895" s="161"/>
      <c r="K895" s="176"/>
    </row>
    <row r="896" spans="2:11" x14ac:dyDescent="0.3">
      <c r="B896" s="179">
        <v>90956</v>
      </c>
      <c r="C896" s="175" t="s">
        <v>1004</v>
      </c>
      <c r="F896" s="161"/>
      <c r="K896" s="176"/>
    </row>
    <row r="897" spans="2:11" x14ac:dyDescent="0.3">
      <c r="B897" s="179">
        <v>100512</v>
      </c>
      <c r="C897" s="175" t="s">
        <v>1005</v>
      </c>
      <c r="F897" s="161"/>
      <c r="K897" s="176"/>
    </row>
    <row r="898" spans="2:11" x14ac:dyDescent="0.3">
      <c r="B898" s="179">
        <v>100906</v>
      </c>
      <c r="C898" s="175" t="s">
        <v>1006</v>
      </c>
      <c r="F898" s="161"/>
      <c r="K898" s="176"/>
    </row>
    <row r="899" spans="2:11" x14ac:dyDescent="0.3">
      <c r="B899" s="179">
        <v>100907</v>
      </c>
      <c r="C899" s="175" t="s">
        <v>1007</v>
      </c>
      <c r="F899" s="161"/>
      <c r="K899" s="176"/>
    </row>
    <row r="900" spans="2:11" x14ac:dyDescent="0.3">
      <c r="B900" s="179">
        <v>101387</v>
      </c>
      <c r="C900" s="175" t="s">
        <v>1008</v>
      </c>
      <c r="F900" s="161"/>
      <c r="K900" s="176"/>
    </row>
    <row r="901" spans="2:11" x14ac:dyDescent="0.3">
      <c r="B901" s="179">
        <v>2853</v>
      </c>
      <c r="C901" s="175" t="s">
        <v>276</v>
      </c>
      <c r="F901" s="161"/>
      <c r="K901" s="176"/>
    </row>
    <row r="902" spans="2:11" x14ac:dyDescent="0.3">
      <c r="B902" s="179">
        <v>2261</v>
      </c>
      <c r="C902" s="175" t="s">
        <v>1009</v>
      </c>
      <c r="F902" s="161"/>
      <c r="K902" s="176"/>
    </row>
    <row r="903" spans="2:11" x14ac:dyDescent="0.3">
      <c r="B903" s="179">
        <v>6006</v>
      </c>
      <c r="C903" s="175" t="s">
        <v>1010</v>
      </c>
      <c r="F903" s="161"/>
      <c r="K903" s="176"/>
    </row>
    <row r="904" spans="2:11" x14ac:dyDescent="0.3">
      <c r="B904" s="179">
        <v>85726</v>
      </c>
      <c r="C904" s="175" t="s">
        <v>1011</v>
      </c>
      <c r="F904" s="161"/>
      <c r="K904" s="176"/>
    </row>
    <row r="905" spans="2:11" x14ac:dyDescent="0.3">
      <c r="B905" s="179">
        <v>86402</v>
      </c>
      <c r="C905" s="175" t="s">
        <v>1012</v>
      </c>
      <c r="F905" s="161"/>
      <c r="K905" s="176"/>
    </row>
    <row r="906" spans="2:11" x14ac:dyDescent="0.3">
      <c r="B906" s="179">
        <v>86439</v>
      </c>
      <c r="C906" s="175" t="s">
        <v>1013</v>
      </c>
      <c r="F906" s="161"/>
      <c r="K906" s="176"/>
    </row>
    <row r="907" spans="2:11" x14ac:dyDescent="0.3">
      <c r="B907" s="179">
        <v>87032</v>
      </c>
      <c r="C907" s="175" t="s">
        <v>1014</v>
      </c>
      <c r="F907" s="161"/>
      <c r="K907" s="176"/>
    </row>
    <row r="908" spans="2:11" x14ac:dyDescent="0.3">
      <c r="B908" s="179">
        <v>88770</v>
      </c>
      <c r="C908" s="175" t="s">
        <v>1015</v>
      </c>
      <c r="F908" s="161"/>
      <c r="K908" s="176"/>
    </row>
    <row r="909" spans="2:11" x14ac:dyDescent="0.3">
      <c r="B909" s="179">
        <v>89459</v>
      </c>
      <c r="C909" s="175" t="s">
        <v>1016</v>
      </c>
      <c r="F909" s="161"/>
      <c r="K909" s="176"/>
    </row>
    <row r="910" spans="2:11" x14ac:dyDescent="0.3">
      <c r="B910" s="179">
        <v>89490</v>
      </c>
      <c r="C910" s="175" t="s">
        <v>1017</v>
      </c>
      <c r="F910" s="161"/>
      <c r="K910" s="176"/>
    </row>
    <row r="911" spans="2:11" x14ac:dyDescent="0.3">
      <c r="B911" s="179">
        <v>89524</v>
      </c>
      <c r="C911" s="175" t="s">
        <v>1018</v>
      </c>
      <c r="F911" s="161"/>
      <c r="K911" s="176"/>
    </row>
    <row r="912" spans="2:11" x14ac:dyDescent="0.3">
      <c r="B912" s="179">
        <v>90694</v>
      </c>
      <c r="C912" s="175" t="s">
        <v>1019</v>
      </c>
      <c r="F912" s="161"/>
      <c r="K912" s="176"/>
    </row>
    <row r="913" spans="2:11" x14ac:dyDescent="0.3">
      <c r="B913" s="179">
        <v>90914</v>
      </c>
      <c r="C913" s="175" t="s">
        <v>1020</v>
      </c>
      <c r="F913" s="161"/>
      <c r="K913" s="176"/>
    </row>
    <row r="914" spans="2:11" x14ac:dyDescent="0.3">
      <c r="B914" s="179">
        <v>100503</v>
      </c>
      <c r="C914" s="175" t="s">
        <v>1021</v>
      </c>
      <c r="F914" s="161"/>
      <c r="K914" s="176"/>
    </row>
    <row r="915" spans="2:11" x14ac:dyDescent="0.3">
      <c r="B915" s="179">
        <v>100504</v>
      </c>
      <c r="C915" s="175" t="s">
        <v>1022</v>
      </c>
      <c r="F915" s="161"/>
      <c r="K915" s="176"/>
    </row>
    <row r="916" spans="2:11" x14ac:dyDescent="0.3">
      <c r="B916" s="179">
        <v>100607</v>
      </c>
      <c r="C916" s="175" t="s">
        <v>1023</v>
      </c>
      <c r="F916" s="161"/>
      <c r="K916" s="176"/>
    </row>
    <row r="917" spans="2:11" x14ac:dyDescent="0.3">
      <c r="B917" s="179">
        <v>101356</v>
      </c>
      <c r="C917" s="175" t="s">
        <v>1024</v>
      </c>
      <c r="F917" s="161"/>
      <c r="K917" s="176"/>
    </row>
    <row r="918" spans="2:11" x14ac:dyDescent="0.3">
      <c r="B918" s="179">
        <v>2475</v>
      </c>
      <c r="C918" s="175" t="s">
        <v>1025</v>
      </c>
      <c r="F918" s="161"/>
      <c r="K918" s="176"/>
    </row>
    <row r="919" spans="2:11" x14ac:dyDescent="0.3">
      <c r="B919" s="179">
        <v>3767</v>
      </c>
      <c r="C919" s="175" t="s">
        <v>1026</v>
      </c>
      <c r="F919" s="161"/>
      <c r="K919" s="176"/>
    </row>
    <row r="920" spans="2:11" x14ac:dyDescent="0.3">
      <c r="B920" s="179">
        <v>4984</v>
      </c>
      <c r="C920" s="175" t="s">
        <v>1027</v>
      </c>
      <c r="F920" s="161"/>
      <c r="K920" s="176"/>
    </row>
    <row r="921" spans="2:11" x14ac:dyDescent="0.3">
      <c r="B921" s="179">
        <v>7739</v>
      </c>
      <c r="C921" s="175" t="s">
        <v>1028</v>
      </c>
      <c r="F921" s="161"/>
      <c r="K921" s="176"/>
    </row>
    <row r="922" spans="2:11" x14ac:dyDescent="0.3">
      <c r="B922" s="179">
        <v>8248</v>
      </c>
      <c r="C922" s="175" t="s">
        <v>1029</v>
      </c>
      <c r="F922" s="161"/>
      <c r="K922" s="176"/>
    </row>
    <row r="923" spans="2:11" x14ac:dyDescent="0.3">
      <c r="B923" s="179">
        <v>8692</v>
      </c>
      <c r="C923" s="175" t="s">
        <v>1030</v>
      </c>
      <c r="F923" s="161"/>
      <c r="K923" s="176"/>
    </row>
    <row r="924" spans="2:11" x14ac:dyDescent="0.3">
      <c r="B924" s="179">
        <v>25634</v>
      </c>
      <c r="C924" s="175" t="s">
        <v>1031</v>
      </c>
      <c r="F924" s="161"/>
      <c r="K924" s="176"/>
    </row>
    <row r="925" spans="2:11" x14ac:dyDescent="0.3">
      <c r="B925" s="179">
        <v>90704</v>
      </c>
      <c r="C925" s="175" t="s">
        <v>1032</v>
      </c>
      <c r="F925" s="161"/>
      <c r="K925" s="176"/>
    </row>
    <row r="926" spans="2:11" x14ac:dyDescent="0.3">
      <c r="B926" s="179">
        <v>91187</v>
      </c>
      <c r="C926" s="175" t="s">
        <v>1033</v>
      </c>
      <c r="F926" s="161"/>
      <c r="K926" s="176"/>
    </row>
    <row r="927" spans="2:11" x14ac:dyDescent="0.3">
      <c r="B927" s="179">
        <v>100677</v>
      </c>
      <c r="C927" s="175" t="s">
        <v>1034</v>
      </c>
      <c r="F927" s="161"/>
      <c r="K927" s="176"/>
    </row>
    <row r="928" spans="2:11" x14ac:dyDescent="0.3">
      <c r="B928" s="179">
        <v>100884</v>
      </c>
      <c r="C928" s="175" t="s">
        <v>1035</v>
      </c>
      <c r="F928" s="161"/>
      <c r="K928" s="176"/>
    </row>
    <row r="929" spans="2:11" x14ac:dyDescent="0.3">
      <c r="B929" s="179">
        <v>100898</v>
      </c>
      <c r="C929" s="175" t="s">
        <v>1036</v>
      </c>
      <c r="F929" s="161"/>
      <c r="K929" s="176"/>
    </row>
    <row r="930" spans="2:11" x14ac:dyDescent="0.3">
      <c r="B930" s="179">
        <v>101088</v>
      </c>
      <c r="C930" s="175" t="s">
        <v>1037</v>
      </c>
      <c r="F930" s="161"/>
      <c r="K930" s="176"/>
    </row>
    <row r="931" spans="2:11" x14ac:dyDescent="0.3">
      <c r="B931" s="179">
        <v>90899</v>
      </c>
      <c r="C931" s="175" t="s">
        <v>1038</v>
      </c>
      <c r="F931" s="161"/>
      <c r="K931" s="176"/>
    </row>
    <row r="932" spans="2:11" x14ac:dyDescent="0.3">
      <c r="B932" s="179">
        <v>91142</v>
      </c>
      <c r="C932" s="175" t="s">
        <v>1039</v>
      </c>
      <c r="F932" s="161"/>
      <c r="K932" s="176"/>
    </row>
    <row r="933" spans="2:11" x14ac:dyDescent="0.3">
      <c r="B933" s="179">
        <v>100871</v>
      </c>
      <c r="C933" s="175" t="s">
        <v>1040</v>
      </c>
      <c r="F933" s="161"/>
      <c r="K933" s="176"/>
    </row>
    <row r="934" spans="2:11" x14ac:dyDescent="0.3">
      <c r="B934" s="179">
        <v>101165</v>
      </c>
      <c r="C934" s="175" t="s">
        <v>1041</v>
      </c>
      <c r="F934" s="161"/>
      <c r="K934" s="176"/>
    </row>
    <row r="935" spans="2:11" x14ac:dyDescent="0.3">
      <c r="B935" s="179">
        <v>101471</v>
      </c>
      <c r="C935" s="175" t="s">
        <v>1042</v>
      </c>
      <c r="F935" s="161"/>
      <c r="K935" s="176"/>
    </row>
    <row r="936" spans="2:11" x14ac:dyDescent="0.3">
      <c r="B936" s="179">
        <v>1819</v>
      </c>
      <c r="C936" s="175" t="s">
        <v>1043</v>
      </c>
      <c r="F936" s="161"/>
      <c r="K936" s="176"/>
    </row>
    <row r="937" spans="2:11" x14ac:dyDescent="0.3">
      <c r="B937" s="179">
        <v>2142</v>
      </c>
      <c r="C937" s="175" t="s">
        <v>1044</v>
      </c>
      <c r="F937" s="161"/>
      <c r="K937" s="176"/>
    </row>
    <row r="938" spans="2:11" x14ac:dyDescent="0.3">
      <c r="B938" s="179">
        <v>2370</v>
      </c>
      <c r="C938" s="175" t="s">
        <v>1045</v>
      </c>
      <c r="F938" s="161"/>
      <c r="K938" s="176"/>
    </row>
    <row r="939" spans="2:11" x14ac:dyDescent="0.3">
      <c r="B939" s="179">
        <v>4664</v>
      </c>
      <c r="C939" s="175" t="s">
        <v>1046</v>
      </c>
      <c r="F939" s="161"/>
      <c r="K939" s="176"/>
    </row>
    <row r="940" spans="2:11" x14ac:dyDescent="0.3">
      <c r="B940" s="179">
        <v>5218</v>
      </c>
      <c r="C940" s="175" t="s">
        <v>1047</v>
      </c>
      <c r="F940" s="161"/>
      <c r="K940" s="176"/>
    </row>
    <row r="941" spans="2:11" x14ac:dyDescent="0.3">
      <c r="B941" s="179">
        <v>6260</v>
      </c>
      <c r="C941" s="175" t="s">
        <v>1048</v>
      </c>
      <c r="F941" s="161"/>
      <c r="K941" s="176"/>
    </row>
    <row r="942" spans="2:11" x14ac:dyDescent="0.3">
      <c r="B942" s="179">
        <v>90281</v>
      </c>
      <c r="C942" s="175" t="s">
        <v>1049</v>
      </c>
      <c r="F942" s="161"/>
      <c r="K942" s="176"/>
    </row>
    <row r="943" spans="2:11" x14ac:dyDescent="0.3">
      <c r="B943" s="179">
        <v>90444</v>
      </c>
      <c r="C943" s="175" t="s">
        <v>1050</v>
      </c>
      <c r="F943" s="161"/>
      <c r="K943" s="176"/>
    </row>
    <row r="944" spans="2:11" x14ac:dyDescent="0.3">
      <c r="B944" s="179">
        <v>90702</v>
      </c>
      <c r="C944" s="175" t="s">
        <v>1051</v>
      </c>
      <c r="F944" s="161"/>
      <c r="K944" s="176"/>
    </row>
    <row r="945" spans="2:11" x14ac:dyDescent="0.3">
      <c r="B945" s="179">
        <v>86192</v>
      </c>
      <c r="C945" s="175" t="s">
        <v>1052</v>
      </c>
      <c r="F945" s="161"/>
      <c r="K945" s="176"/>
    </row>
    <row r="946" spans="2:11" x14ac:dyDescent="0.3">
      <c r="B946" s="179">
        <v>86373</v>
      </c>
      <c r="C946" s="175" t="s">
        <v>1053</v>
      </c>
      <c r="F946" s="161"/>
      <c r="K946" s="176"/>
    </row>
    <row r="947" spans="2:11" x14ac:dyDescent="0.3">
      <c r="B947" s="179">
        <v>87396</v>
      </c>
      <c r="C947" s="175" t="s">
        <v>1054</v>
      </c>
      <c r="F947" s="161"/>
      <c r="K947" s="176"/>
    </row>
    <row r="948" spans="2:11" x14ac:dyDescent="0.3">
      <c r="B948" s="179">
        <v>87753</v>
      </c>
      <c r="C948" s="175" t="s">
        <v>1055</v>
      </c>
      <c r="F948" s="161"/>
      <c r="K948" s="176"/>
    </row>
    <row r="949" spans="2:11" x14ac:dyDescent="0.3">
      <c r="B949" s="179">
        <v>87754</v>
      </c>
      <c r="C949" s="175" t="s">
        <v>1056</v>
      </c>
      <c r="F949" s="161"/>
      <c r="K949" s="176"/>
    </row>
    <row r="950" spans="2:11" x14ac:dyDescent="0.3">
      <c r="B950" s="179">
        <v>87950</v>
      </c>
      <c r="C950" s="175" t="s">
        <v>1057</v>
      </c>
      <c r="F950" s="161"/>
      <c r="K950" s="176"/>
    </row>
    <row r="951" spans="2:11" x14ac:dyDescent="0.3">
      <c r="B951" s="179">
        <v>89251</v>
      </c>
      <c r="C951" s="175" t="s">
        <v>1058</v>
      </c>
      <c r="F951" s="161"/>
      <c r="K951" s="176"/>
    </row>
    <row r="952" spans="2:11" x14ac:dyDescent="0.3">
      <c r="B952" s="179">
        <v>101168</v>
      </c>
      <c r="C952" s="175" t="s">
        <v>1059</v>
      </c>
      <c r="F952" s="161"/>
      <c r="K952" s="176"/>
    </row>
    <row r="953" spans="2:11" x14ac:dyDescent="0.3">
      <c r="B953" s="179">
        <v>101169</v>
      </c>
      <c r="C953" s="175" t="s">
        <v>1060</v>
      </c>
      <c r="F953" s="161"/>
      <c r="K953" s="176"/>
    </row>
    <row r="954" spans="2:11" x14ac:dyDescent="0.3">
      <c r="B954" s="179">
        <v>101259</v>
      </c>
      <c r="C954" s="175" t="s">
        <v>1061</v>
      </c>
      <c r="F954" s="161"/>
      <c r="K954" s="176"/>
    </row>
    <row r="955" spans="2:11" x14ac:dyDescent="0.3">
      <c r="B955" s="179">
        <v>101320</v>
      </c>
      <c r="C955" s="175" t="s">
        <v>1062</v>
      </c>
      <c r="F955" s="161"/>
      <c r="K955" s="176"/>
    </row>
    <row r="956" spans="2:11" x14ac:dyDescent="0.3">
      <c r="B956" s="179">
        <v>101321</v>
      </c>
      <c r="C956" s="175" t="s">
        <v>1063</v>
      </c>
      <c r="F956" s="161"/>
      <c r="K956" s="176"/>
    </row>
    <row r="957" spans="2:11" x14ac:dyDescent="0.3">
      <c r="B957" s="179">
        <v>1831</v>
      </c>
      <c r="C957" s="175" t="s">
        <v>1064</v>
      </c>
      <c r="F957" s="161"/>
      <c r="K957" s="176"/>
    </row>
    <row r="958" spans="2:11" x14ac:dyDescent="0.3">
      <c r="B958" s="179">
        <v>1914</v>
      </c>
      <c r="C958" s="175" t="s">
        <v>1065</v>
      </c>
      <c r="F958" s="161"/>
      <c r="K958" s="176"/>
    </row>
    <row r="959" spans="2:11" x14ac:dyDescent="0.3">
      <c r="B959" s="179">
        <v>2060</v>
      </c>
      <c r="C959" s="175" t="s">
        <v>1066</v>
      </c>
      <c r="F959" s="161"/>
      <c r="K959" s="176"/>
    </row>
    <row r="960" spans="2:11" x14ac:dyDescent="0.3">
      <c r="B960" s="179">
        <v>3880</v>
      </c>
      <c r="C960" s="175" t="s">
        <v>1067</v>
      </c>
      <c r="F960" s="161"/>
      <c r="K960" s="176"/>
    </row>
    <row r="961" spans="2:11" x14ac:dyDescent="0.3">
      <c r="B961" s="179">
        <v>54035</v>
      </c>
      <c r="C961" s="175" t="s">
        <v>1068</v>
      </c>
      <c r="F961" s="161"/>
      <c r="K961" s="176"/>
    </row>
    <row r="962" spans="2:11" x14ac:dyDescent="0.3">
      <c r="B962" s="179">
        <v>54186</v>
      </c>
      <c r="C962" s="175" t="s">
        <v>1069</v>
      </c>
      <c r="F962" s="161"/>
      <c r="K962" s="176"/>
    </row>
    <row r="963" spans="2:11" x14ac:dyDescent="0.3">
      <c r="B963" s="179">
        <v>85611</v>
      </c>
      <c r="C963" s="175" t="s">
        <v>1070</v>
      </c>
      <c r="F963" s="161"/>
      <c r="K963" s="176"/>
    </row>
    <row r="964" spans="2:11" x14ac:dyDescent="0.3">
      <c r="B964" s="179">
        <v>90689</v>
      </c>
      <c r="C964" s="175" t="s">
        <v>1071</v>
      </c>
      <c r="F964" s="161"/>
      <c r="K964" s="176"/>
    </row>
    <row r="965" spans="2:11" x14ac:dyDescent="0.3">
      <c r="B965" s="179">
        <v>90705</v>
      </c>
      <c r="C965" s="175" t="s">
        <v>1072</v>
      </c>
      <c r="F965" s="161"/>
      <c r="K965" s="176"/>
    </row>
    <row r="966" spans="2:11" x14ac:dyDescent="0.3">
      <c r="B966" s="179">
        <v>91196</v>
      </c>
      <c r="C966" s="175" t="s">
        <v>1073</v>
      </c>
      <c r="F966" s="161"/>
      <c r="K966" s="176"/>
    </row>
    <row r="967" spans="2:11" x14ac:dyDescent="0.3">
      <c r="B967" s="179">
        <v>91197</v>
      </c>
      <c r="C967" s="175" t="s">
        <v>1074</v>
      </c>
      <c r="F967" s="161"/>
      <c r="K967" s="176"/>
    </row>
    <row r="968" spans="2:11" x14ac:dyDescent="0.3">
      <c r="B968" s="179">
        <v>100717</v>
      </c>
      <c r="C968" s="175" t="s">
        <v>1075</v>
      </c>
      <c r="F968" s="161"/>
      <c r="K968" s="176"/>
    </row>
    <row r="969" spans="2:11" x14ac:dyDescent="0.3">
      <c r="B969" s="179">
        <v>100841</v>
      </c>
      <c r="C969" s="175" t="s">
        <v>1076</v>
      </c>
      <c r="F969" s="161"/>
      <c r="K969" s="176"/>
    </row>
    <row r="970" spans="2:11" x14ac:dyDescent="0.3">
      <c r="B970" s="179">
        <v>100842</v>
      </c>
      <c r="C970" s="175" t="s">
        <v>1077</v>
      </c>
      <c r="F970" s="161"/>
      <c r="K970" s="176"/>
    </row>
    <row r="971" spans="2:11" x14ac:dyDescent="0.3">
      <c r="B971" s="179">
        <v>100996</v>
      </c>
      <c r="C971" s="175" t="s">
        <v>1078</v>
      </c>
      <c r="F971" s="161"/>
      <c r="K971" s="176"/>
    </row>
    <row r="972" spans="2:11" x14ac:dyDescent="0.3">
      <c r="B972" s="179">
        <v>86036</v>
      </c>
      <c r="C972" s="175" t="s">
        <v>1079</v>
      </c>
      <c r="F972" s="161"/>
      <c r="K972" s="176"/>
    </row>
    <row r="973" spans="2:11" x14ac:dyDescent="0.3">
      <c r="B973" s="179">
        <v>89472</v>
      </c>
      <c r="C973" s="175" t="s">
        <v>1080</v>
      </c>
      <c r="F973" s="161"/>
      <c r="K973" s="176"/>
    </row>
    <row r="974" spans="2:11" x14ac:dyDescent="0.3">
      <c r="B974" s="179">
        <v>89491</v>
      </c>
      <c r="C974" s="175" t="s">
        <v>1081</v>
      </c>
      <c r="F974" s="161"/>
      <c r="K974" s="176"/>
    </row>
    <row r="975" spans="2:11" x14ac:dyDescent="0.3">
      <c r="B975" s="179">
        <v>89494</v>
      </c>
      <c r="C975" s="175" t="s">
        <v>1082</v>
      </c>
      <c r="F975" s="161"/>
      <c r="K975" s="176"/>
    </row>
    <row r="976" spans="2:11" x14ac:dyDescent="0.3">
      <c r="B976" s="179">
        <v>89501</v>
      </c>
      <c r="C976" s="175" t="s">
        <v>1083</v>
      </c>
      <c r="F976" s="161"/>
      <c r="K976" s="176"/>
    </row>
    <row r="977" spans="2:11" x14ac:dyDescent="0.3">
      <c r="B977" s="179">
        <v>90455</v>
      </c>
      <c r="C977" s="175" t="s">
        <v>1084</v>
      </c>
      <c r="F977" s="161"/>
      <c r="K977" s="176"/>
    </row>
    <row r="978" spans="2:11" x14ac:dyDescent="0.3">
      <c r="B978" s="179">
        <v>101196</v>
      </c>
      <c r="C978" s="175" t="s">
        <v>1085</v>
      </c>
      <c r="F978" s="161"/>
      <c r="K978" s="176"/>
    </row>
    <row r="979" spans="2:11" x14ac:dyDescent="0.3">
      <c r="B979" s="179">
        <v>23274</v>
      </c>
      <c r="C979" s="175" t="s">
        <v>1086</v>
      </c>
      <c r="F979" s="161"/>
      <c r="K979" s="176"/>
    </row>
    <row r="980" spans="2:11" x14ac:dyDescent="0.3">
      <c r="B980" s="179">
        <v>101396</v>
      </c>
      <c r="C980" s="175" t="s">
        <v>1087</v>
      </c>
      <c r="F980" s="161"/>
      <c r="K980" s="176"/>
    </row>
    <row r="981" spans="2:11" x14ac:dyDescent="0.3">
      <c r="B981" s="179">
        <v>85573</v>
      </c>
      <c r="C981" s="175" t="s">
        <v>1088</v>
      </c>
      <c r="F981" s="161"/>
      <c r="K981" s="176"/>
    </row>
    <row r="982" spans="2:11" x14ac:dyDescent="0.3">
      <c r="B982" s="179">
        <v>86073</v>
      </c>
      <c r="C982" s="175" t="s">
        <v>1089</v>
      </c>
      <c r="F982" s="161"/>
      <c r="K982" s="176"/>
    </row>
    <row r="983" spans="2:11" x14ac:dyDescent="0.3">
      <c r="B983" s="179">
        <v>87449</v>
      </c>
      <c r="C983" s="175" t="s">
        <v>1090</v>
      </c>
      <c r="F983" s="161"/>
      <c r="K983" s="176"/>
    </row>
    <row r="984" spans="2:11" x14ac:dyDescent="0.3">
      <c r="B984" s="179">
        <v>87550</v>
      </c>
      <c r="C984" s="175" t="s">
        <v>1091</v>
      </c>
      <c r="F984" s="161"/>
      <c r="K984" s="176"/>
    </row>
    <row r="985" spans="2:11" x14ac:dyDescent="0.3">
      <c r="B985" s="179">
        <v>88787</v>
      </c>
      <c r="C985" s="175" t="s">
        <v>1092</v>
      </c>
      <c r="F985" s="161"/>
      <c r="K985" s="176"/>
    </row>
    <row r="986" spans="2:11" x14ac:dyDescent="0.3">
      <c r="B986" s="179">
        <v>89157</v>
      </c>
      <c r="C986" s="175" t="s">
        <v>1093</v>
      </c>
      <c r="F986" s="161"/>
      <c r="K986" s="176"/>
    </row>
    <row r="987" spans="2:11" x14ac:dyDescent="0.3">
      <c r="B987" s="179">
        <v>89158</v>
      </c>
      <c r="C987" s="175" t="s">
        <v>1094</v>
      </c>
      <c r="F987" s="161"/>
      <c r="K987" s="176"/>
    </row>
    <row r="988" spans="2:11" x14ac:dyDescent="0.3">
      <c r="B988" s="179">
        <v>89273</v>
      </c>
      <c r="C988" s="175" t="s">
        <v>1095</v>
      </c>
      <c r="F988" s="161"/>
      <c r="K988" s="176"/>
    </row>
    <row r="989" spans="2:11" x14ac:dyDescent="0.3">
      <c r="B989" s="179">
        <v>89362</v>
      </c>
      <c r="C989" s="175" t="s">
        <v>1096</v>
      </c>
      <c r="F989" s="161"/>
      <c r="K989" s="176"/>
    </row>
    <row r="990" spans="2:11" x14ac:dyDescent="0.3">
      <c r="B990" s="179">
        <v>89496</v>
      </c>
      <c r="C990" s="175" t="s">
        <v>1097</v>
      </c>
      <c r="F990" s="161"/>
      <c r="K990" s="176"/>
    </row>
    <row r="991" spans="2:11" x14ac:dyDescent="0.3">
      <c r="B991" s="179">
        <v>89554</v>
      </c>
      <c r="C991" s="175" t="s">
        <v>1098</v>
      </c>
      <c r="F991" s="161"/>
      <c r="K991" s="176"/>
    </row>
    <row r="992" spans="2:11" x14ac:dyDescent="0.3">
      <c r="B992" s="179">
        <v>89559</v>
      </c>
      <c r="C992" s="175" t="s">
        <v>1099</v>
      </c>
      <c r="F992" s="161"/>
      <c r="K992" s="176"/>
    </row>
    <row r="993" spans="2:11" x14ac:dyDescent="0.3">
      <c r="B993" s="179">
        <v>89566</v>
      </c>
      <c r="C993" s="175" t="s">
        <v>1100</v>
      </c>
      <c r="F993" s="161"/>
      <c r="K993" s="176"/>
    </row>
    <row r="994" spans="2:11" x14ac:dyDescent="0.3">
      <c r="B994" s="179">
        <v>90518</v>
      </c>
      <c r="C994" s="175" t="s">
        <v>1101</v>
      </c>
      <c r="F994" s="161"/>
      <c r="K994" s="176"/>
    </row>
    <row r="995" spans="2:11" x14ac:dyDescent="0.3">
      <c r="B995" s="179">
        <v>101393</v>
      </c>
      <c r="C995" s="175" t="s">
        <v>1102</v>
      </c>
      <c r="F995" s="161"/>
      <c r="K995" s="176"/>
    </row>
    <row r="996" spans="2:11" x14ac:dyDescent="0.3">
      <c r="B996" s="179">
        <v>3273</v>
      </c>
      <c r="C996" s="175" t="s">
        <v>1103</v>
      </c>
      <c r="F996" s="161"/>
      <c r="K996" s="176"/>
    </row>
    <row r="997" spans="2:11" x14ac:dyDescent="0.3">
      <c r="B997" s="179">
        <v>9326</v>
      </c>
      <c r="C997" s="175" t="s">
        <v>1104</v>
      </c>
      <c r="F997" s="161"/>
      <c r="K997" s="176"/>
    </row>
    <row r="998" spans="2:11" x14ac:dyDescent="0.3">
      <c r="B998" s="179">
        <v>25514</v>
      </c>
      <c r="C998" s="175" t="s">
        <v>1105</v>
      </c>
      <c r="F998" s="161"/>
      <c r="K998" s="176"/>
    </row>
    <row r="999" spans="2:11" x14ac:dyDescent="0.3">
      <c r="B999" s="179">
        <v>90512</v>
      </c>
      <c r="C999" s="175" t="s">
        <v>1106</v>
      </c>
      <c r="F999" s="161"/>
      <c r="K999" s="176"/>
    </row>
    <row r="1000" spans="2:11" x14ac:dyDescent="0.3">
      <c r="B1000" s="179">
        <v>90516</v>
      </c>
      <c r="C1000" s="175" t="s">
        <v>1107</v>
      </c>
      <c r="F1000" s="161"/>
      <c r="K1000" s="176"/>
    </row>
    <row r="1001" spans="2:11" x14ac:dyDescent="0.3">
      <c r="B1001" s="179">
        <v>101034</v>
      </c>
      <c r="C1001" s="175" t="s">
        <v>1108</v>
      </c>
      <c r="F1001" s="161"/>
      <c r="K1001" s="176"/>
    </row>
    <row r="1002" spans="2:11" x14ac:dyDescent="0.3">
      <c r="B1002" s="179">
        <v>101035</v>
      </c>
      <c r="C1002" s="175" t="s">
        <v>1109</v>
      </c>
      <c r="F1002" s="161"/>
      <c r="K1002" s="176"/>
    </row>
    <row r="1003" spans="2:11" x14ac:dyDescent="0.3">
      <c r="B1003" s="179">
        <v>101266</v>
      </c>
      <c r="C1003" s="175" t="s">
        <v>1110</v>
      </c>
      <c r="F1003" s="161"/>
      <c r="K1003" s="176"/>
    </row>
    <row r="1004" spans="2:11" x14ac:dyDescent="0.3">
      <c r="B1004" s="179">
        <v>85854</v>
      </c>
      <c r="C1004" s="175" t="s">
        <v>1111</v>
      </c>
      <c r="F1004" s="161"/>
      <c r="K1004" s="176"/>
    </row>
    <row r="1005" spans="2:11" x14ac:dyDescent="0.3">
      <c r="B1005" s="179">
        <v>87067</v>
      </c>
      <c r="C1005" s="175" t="s">
        <v>1112</v>
      </c>
      <c r="F1005" s="161"/>
      <c r="K1005" s="176"/>
    </row>
    <row r="1006" spans="2:11" x14ac:dyDescent="0.3">
      <c r="B1006" s="179">
        <v>87171</v>
      </c>
      <c r="C1006" s="175" t="s">
        <v>1113</v>
      </c>
      <c r="F1006" s="161"/>
      <c r="K1006" s="176"/>
    </row>
    <row r="1007" spans="2:11" x14ac:dyDescent="0.3">
      <c r="B1007" s="179">
        <v>87306</v>
      </c>
      <c r="C1007" s="175" t="s">
        <v>1114</v>
      </c>
      <c r="F1007" s="161"/>
      <c r="K1007" s="176"/>
    </row>
    <row r="1008" spans="2:11" x14ac:dyDescent="0.3">
      <c r="B1008" s="179">
        <v>88314</v>
      </c>
      <c r="C1008" s="175" t="s">
        <v>1115</v>
      </c>
      <c r="F1008" s="161"/>
      <c r="K1008" s="176"/>
    </row>
    <row r="1009" spans="2:11" x14ac:dyDescent="0.3">
      <c r="B1009" s="179">
        <v>88315</v>
      </c>
      <c r="C1009" s="175" t="s">
        <v>1116</v>
      </c>
      <c r="F1009" s="161"/>
      <c r="K1009" s="176"/>
    </row>
    <row r="1010" spans="2:11" x14ac:dyDescent="0.3">
      <c r="B1010" s="179">
        <v>88316</v>
      </c>
      <c r="C1010" s="175" t="s">
        <v>1117</v>
      </c>
      <c r="F1010" s="161"/>
      <c r="K1010" s="176"/>
    </row>
    <row r="1011" spans="2:11" x14ac:dyDescent="0.3">
      <c r="B1011" s="179">
        <v>88317</v>
      </c>
      <c r="C1011" s="175" t="s">
        <v>1118</v>
      </c>
      <c r="F1011" s="161"/>
      <c r="K1011" s="176"/>
    </row>
    <row r="1012" spans="2:11" x14ac:dyDescent="0.3">
      <c r="B1012" s="179">
        <v>88962</v>
      </c>
      <c r="C1012" s="175" t="s">
        <v>1119</v>
      </c>
      <c r="F1012" s="161"/>
      <c r="K1012" s="176"/>
    </row>
    <row r="1013" spans="2:11" x14ac:dyDescent="0.3">
      <c r="B1013" s="179">
        <v>89274</v>
      </c>
      <c r="C1013" s="175" t="s">
        <v>1120</v>
      </c>
      <c r="F1013" s="161"/>
      <c r="K1013" s="176"/>
    </row>
    <row r="1014" spans="2:11" x14ac:dyDescent="0.3">
      <c r="B1014" s="179">
        <v>89575</v>
      </c>
      <c r="C1014" s="175" t="s">
        <v>1121</v>
      </c>
      <c r="F1014" s="161"/>
      <c r="K1014" s="176"/>
    </row>
    <row r="1015" spans="2:11" x14ac:dyDescent="0.3">
      <c r="B1015" s="179">
        <v>90772</v>
      </c>
      <c r="C1015" s="175" t="s">
        <v>1122</v>
      </c>
      <c r="F1015" s="161"/>
      <c r="K1015" s="176"/>
    </row>
    <row r="1016" spans="2:11" x14ac:dyDescent="0.3">
      <c r="B1016" s="179">
        <v>90861</v>
      </c>
      <c r="C1016" s="175" t="s">
        <v>1123</v>
      </c>
      <c r="F1016" s="161"/>
      <c r="K1016" s="176"/>
    </row>
    <row r="1017" spans="2:11" x14ac:dyDescent="0.3">
      <c r="B1017" s="179">
        <v>101314</v>
      </c>
      <c r="C1017" s="175" t="s">
        <v>1124</v>
      </c>
      <c r="F1017" s="161"/>
      <c r="K1017" s="176"/>
    </row>
    <row r="1018" spans="2:11" x14ac:dyDescent="0.3">
      <c r="B1018" s="179">
        <v>3368</v>
      </c>
      <c r="C1018" s="175" t="s">
        <v>1125</v>
      </c>
      <c r="F1018" s="161"/>
      <c r="K1018" s="176"/>
    </row>
    <row r="1019" spans="2:11" x14ac:dyDescent="0.3">
      <c r="B1019" s="179">
        <v>5757</v>
      </c>
      <c r="C1019" s="175" t="s">
        <v>1126</v>
      </c>
      <c r="F1019" s="161"/>
      <c r="K1019" s="176"/>
    </row>
    <row r="1020" spans="2:11" x14ac:dyDescent="0.3">
      <c r="B1020" s="179">
        <v>5818</v>
      </c>
      <c r="C1020" s="175" t="s">
        <v>1127</v>
      </c>
      <c r="F1020" s="161"/>
      <c r="K1020" s="176"/>
    </row>
    <row r="1021" spans="2:11" x14ac:dyDescent="0.3">
      <c r="B1021" s="179">
        <v>16248</v>
      </c>
      <c r="C1021" s="175" t="s">
        <v>1128</v>
      </c>
      <c r="F1021" s="161"/>
      <c r="K1021" s="176"/>
    </row>
    <row r="1022" spans="2:11" x14ac:dyDescent="0.3">
      <c r="B1022" s="179">
        <v>90799</v>
      </c>
      <c r="C1022" s="175" t="s">
        <v>1129</v>
      </c>
      <c r="F1022" s="161"/>
      <c r="K1022" s="176"/>
    </row>
    <row r="1023" spans="2:11" x14ac:dyDescent="0.3">
      <c r="B1023" s="179">
        <v>91175</v>
      </c>
      <c r="C1023" s="175" t="s">
        <v>1130</v>
      </c>
      <c r="F1023" s="161"/>
      <c r="K1023" s="176"/>
    </row>
    <row r="1024" spans="2:11" x14ac:dyDescent="0.3">
      <c r="B1024" s="179">
        <v>100638</v>
      </c>
      <c r="C1024" s="175" t="s">
        <v>1131</v>
      </c>
      <c r="F1024" s="161"/>
      <c r="K1024" s="176"/>
    </row>
    <row r="1025" spans="2:11" x14ac:dyDescent="0.3">
      <c r="B1025" s="179">
        <v>100707</v>
      </c>
      <c r="C1025" s="175" t="s">
        <v>1132</v>
      </c>
      <c r="F1025" s="161"/>
      <c r="K1025" s="176"/>
    </row>
    <row r="1026" spans="2:11" x14ac:dyDescent="0.3">
      <c r="B1026" s="179">
        <v>100783</v>
      </c>
      <c r="C1026" s="175" t="s">
        <v>1133</v>
      </c>
      <c r="F1026" s="161"/>
      <c r="K1026" s="176"/>
    </row>
    <row r="1027" spans="2:11" x14ac:dyDescent="0.3">
      <c r="B1027" s="179">
        <v>101398</v>
      </c>
      <c r="C1027" s="175" t="s">
        <v>1134</v>
      </c>
      <c r="F1027" s="161"/>
      <c r="K1027" s="176"/>
    </row>
    <row r="1028" spans="2:11" x14ac:dyDescent="0.3">
      <c r="B1028" s="179">
        <v>85946</v>
      </c>
      <c r="C1028" s="175" t="s">
        <v>1135</v>
      </c>
      <c r="F1028" s="161"/>
      <c r="K1028" s="176"/>
    </row>
    <row r="1029" spans="2:11" x14ac:dyDescent="0.3">
      <c r="B1029" s="179">
        <v>86814</v>
      </c>
      <c r="C1029" s="175" t="s">
        <v>1136</v>
      </c>
      <c r="F1029" s="161"/>
      <c r="K1029" s="176"/>
    </row>
    <row r="1030" spans="2:11" x14ac:dyDescent="0.3">
      <c r="B1030" s="179">
        <v>87765</v>
      </c>
      <c r="C1030" s="175" t="s">
        <v>1137</v>
      </c>
      <c r="F1030" s="161"/>
      <c r="K1030" s="176"/>
    </row>
    <row r="1031" spans="2:11" x14ac:dyDescent="0.3">
      <c r="B1031" s="179">
        <v>88092</v>
      </c>
      <c r="C1031" s="175" t="s">
        <v>1138</v>
      </c>
      <c r="F1031" s="161"/>
      <c r="K1031" s="176"/>
    </row>
    <row r="1032" spans="2:11" x14ac:dyDescent="0.3">
      <c r="B1032" s="179">
        <v>88236</v>
      </c>
      <c r="C1032" s="175" t="s">
        <v>1139</v>
      </c>
      <c r="F1032" s="161"/>
      <c r="K1032" s="176"/>
    </row>
    <row r="1033" spans="2:11" x14ac:dyDescent="0.3">
      <c r="B1033" s="179">
        <v>88461</v>
      </c>
      <c r="C1033" s="175" t="s">
        <v>1140</v>
      </c>
      <c r="F1033" s="161"/>
      <c r="K1033" s="176"/>
    </row>
    <row r="1034" spans="2:11" x14ac:dyDescent="0.3">
      <c r="B1034" s="179">
        <v>88699</v>
      </c>
      <c r="C1034" s="175" t="s">
        <v>1141</v>
      </c>
      <c r="F1034" s="161"/>
      <c r="K1034" s="176"/>
    </row>
    <row r="1035" spans="2:11" x14ac:dyDescent="0.3">
      <c r="B1035" s="179">
        <v>88976</v>
      </c>
      <c r="C1035" s="175" t="s">
        <v>1142</v>
      </c>
      <c r="F1035" s="161"/>
      <c r="K1035" s="176"/>
    </row>
    <row r="1036" spans="2:11" x14ac:dyDescent="0.3">
      <c r="B1036" s="179">
        <v>89275</v>
      </c>
      <c r="C1036" s="175" t="s">
        <v>1143</v>
      </c>
      <c r="F1036" s="161"/>
      <c r="K1036" s="176"/>
    </row>
    <row r="1037" spans="2:11" x14ac:dyDescent="0.3">
      <c r="B1037" s="179">
        <v>89411</v>
      </c>
      <c r="C1037" s="175" t="s">
        <v>1144</v>
      </c>
      <c r="F1037" s="161"/>
      <c r="K1037" s="176"/>
    </row>
    <row r="1038" spans="2:11" x14ac:dyDescent="0.3">
      <c r="B1038" s="179">
        <v>90195</v>
      </c>
      <c r="C1038" s="175" t="s">
        <v>1145</v>
      </c>
      <c r="F1038" s="161"/>
      <c r="K1038" s="176"/>
    </row>
    <row r="1039" spans="2:11" x14ac:dyDescent="0.3">
      <c r="B1039" s="179">
        <v>90216</v>
      </c>
      <c r="C1039" s="175" t="s">
        <v>1146</v>
      </c>
      <c r="F1039" s="161"/>
      <c r="K1039" s="176"/>
    </row>
    <row r="1040" spans="2:11" x14ac:dyDescent="0.3">
      <c r="B1040" s="179">
        <v>5400</v>
      </c>
      <c r="C1040" s="175" t="s">
        <v>1147</v>
      </c>
      <c r="F1040" s="161"/>
      <c r="K1040" s="176"/>
    </row>
    <row r="1041" spans="2:11" x14ac:dyDescent="0.3">
      <c r="B1041" s="179">
        <v>6129</v>
      </c>
      <c r="C1041" s="175" t="s">
        <v>1148</v>
      </c>
      <c r="F1041" s="161"/>
      <c r="K1041" s="176"/>
    </row>
    <row r="1042" spans="2:11" x14ac:dyDescent="0.3">
      <c r="B1042" s="179">
        <v>6216</v>
      </c>
      <c r="C1042" s="175" t="s">
        <v>1149</v>
      </c>
      <c r="F1042" s="161"/>
      <c r="K1042" s="176"/>
    </row>
    <row r="1043" spans="2:11" x14ac:dyDescent="0.3">
      <c r="B1043" s="179">
        <v>12587</v>
      </c>
      <c r="C1043" s="175" t="s">
        <v>1150</v>
      </c>
      <c r="F1043" s="161"/>
      <c r="K1043" s="176"/>
    </row>
    <row r="1044" spans="2:11" x14ac:dyDescent="0.3">
      <c r="B1044" s="179">
        <v>34686</v>
      </c>
      <c r="C1044" s="175" t="s">
        <v>1151</v>
      </c>
      <c r="F1044" s="161"/>
      <c r="K1044" s="176"/>
    </row>
    <row r="1045" spans="2:11" x14ac:dyDescent="0.3">
      <c r="B1045" s="179">
        <v>91224</v>
      </c>
      <c r="C1045" s="175" t="s">
        <v>1152</v>
      </c>
      <c r="F1045" s="161"/>
      <c r="K1045" s="176"/>
    </row>
    <row r="1046" spans="2:11" x14ac:dyDescent="0.3">
      <c r="B1046" s="179">
        <v>100499</v>
      </c>
      <c r="C1046" s="175" t="s">
        <v>1153</v>
      </c>
      <c r="F1046" s="161"/>
      <c r="K1046" s="176"/>
    </row>
    <row r="1047" spans="2:11" x14ac:dyDescent="0.3">
      <c r="B1047" s="179">
        <v>100506</v>
      </c>
      <c r="C1047" s="175" t="s">
        <v>1154</v>
      </c>
      <c r="F1047" s="161"/>
      <c r="K1047" s="176"/>
    </row>
    <row r="1048" spans="2:11" x14ac:dyDescent="0.3">
      <c r="B1048" s="179">
        <v>100807</v>
      </c>
      <c r="C1048" s="175" t="s">
        <v>1155</v>
      </c>
      <c r="F1048" s="161"/>
      <c r="K1048" s="176"/>
    </row>
    <row r="1049" spans="2:11" x14ac:dyDescent="0.3">
      <c r="B1049" s="179">
        <v>101082</v>
      </c>
      <c r="C1049" s="175" t="s">
        <v>1156</v>
      </c>
      <c r="F1049" s="161"/>
      <c r="K1049" s="176"/>
    </row>
    <row r="1050" spans="2:11" x14ac:dyDescent="0.3">
      <c r="B1050" s="179">
        <v>101561</v>
      </c>
      <c r="C1050" s="175" t="s">
        <v>1157</v>
      </c>
      <c r="F1050" s="161"/>
      <c r="K1050" s="176"/>
    </row>
    <row r="1051" spans="2:11" x14ac:dyDescent="0.3">
      <c r="B1051" s="179">
        <v>86444</v>
      </c>
      <c r="C1051" s="175" t="s">
        <v>1158</v>
      </c>
      <c r="F1051" s="161"/>
      <c r="K1051" s="176"/>
    </row>
    <row r="1052" spans="2:11" x14ac:dyDescent="0.3">
      <c r="B1052" s="179">
        <v>86454</v>
      </c>
      <c r="C1052" s="175" t="s">
        <v>1159</v>
      </c>
      <c r="F1052" s="161"/>
      <c r="K1052" s="176"/>
    </row>
    <row r="1053" spans="2:11" x14ac:dyDescent="0.3">
      <c r="B1053" s="179">
        <v>87219</v>
      </c>
      <c r="C1053" s="175" t="s">
        <v>1160</v>
      </c>
      <c r="F1053" s="161"/>
      <c r="K1053" s="176"/>
    </row>
    <row r="1054" spans="2:11" x14ac:dyDescent="0.3">
      <c r="B1054" s="179">
        <v>90062</v>
      </c>
      <c r="C1054" s="175" t="s">
        <v>1161</v>
      </c>
      <c r="F1054" s="161"/>
      <c r="K1054" s="176"/>
    </row>
    <row r="1055" spans="2:11" x14ac:dyDescent="0.3">
      <c r="B1055" s="179">
        <v>90769</v>
      </c>
      <c r="C1055" s="175" t="s">
        <v>1162</v>
      </c>
      <c r="F1055" s="161"/>
      <c r="K1055" s="176"/>
    </row>
    <row r="1056" spans="2:11" x14ac:dyDescent="0.3">
      <c r="B1056" s="179">
        <v>100756</v>
      </c>
      <c r="C1056" s="175" t="s">
        <v>1163</v>
      </c>
      <c r="F1056" s="161"/>
      <c r="K1056" s="176"/>
    </row>
    <row r="1057" spans="2:11" x14ac:dyDescent="0.3">
      <c r="B1057" s="179">
        <v>1764</v>
      </c>
      <c r="C1057" s="175" t="s">
        <v>1164</v>
      </c>
      <c r="F1057" s="161"/>
      <c r="K1057" s="176"/>
    </row>
    <row r="1058" spans="2:11" x14ac:dyDescent="0.3">
      <c r="B1058" s="179">
        <v>2914</v>
      </c>
      <c r="C1058" s="175" t="s">
        <v>1165</v>
      </c>
      <c r="F1058" s="161"/>
      <c r="K1058" s="176"/>
    </row>
    <row r="1059" spans="2:11" x14ac:dyDescent="0.3">
      <c r="B1059" s="179">
        <v>3773</v>
      </c>
      <c r="C1059" s="175" t="s">
        <v>1166</v>
      </c>
      <c r="F1059" s="161"/>
      <c r="K1059" s="176"/>
    </row>
    <row r="1060" spans="2:11" x14ac:dyDescent="0.3">
      <c r="B1060" s="179">
        <v>5180</v>
      </c>
      <c r="C1060" s="175" t="s">
        <v>1167</v>
      </c>
      <c r="F1060" s="161"/>
      <c r="K1060" s="176"/>
    </row>
    <row r="1061" spans="2:11" x14ac:dyDescent="0.3">
      <c r="B1061" s="179">
        <v>13764</v>
      </c>
      <c r="C1061" s="175" t="s">
        <v>1168</v>
      </c>
      <c r="F1061" s="161"/>
      <c r="K1061" s="176"/>
    </row>
    <row r="1062" spans="2:11" x14ac:dyDescent="0.3">
      <c r="B1062" s="179">
        <v>32159</v>
      </c>
      <c r="C1062" s="175" t="s">
        <v>1169</v>
      </c>
      <c r="F1062" s="161"/>
      <c r="K1062" s="176"/>
    </row>
    <row r="1063" spans="2:11" x14ac:dyDescent="0.3">
      <c r="B1063" s="179">
        <v>90905</v>
      </c>
      <c r="C1063" s="175" t="s">
        <v>1170</v>
      </c>
      <c r="F1063" s="161"/>
      <c r="K1063" s="176"/>
    </row>
    <row r="1064" spans="2:11" x14ac:dyDescent="0.3">
      <c r="B1064" s="179">
        <v>100509</v>
      </c>
      <c r="C1064" s="175" t="s">
        <v>1171</v>
      </c>
      <c r="F1064" s="161"/>
      <c r="K1064" s="176"/>
    </row>
    <row r="1065" spans="2:11" x14ac:dyDescent="0.3">
      <c r="B1065" s="179">
        <v>100524</v>
      </c>
      <c r="C1065" s="175" t="s">
        <v>1172</v>
      </c>
      <c r="F1065" s="161"/>
      <c r="K1065" s="176"/>
    </row>
    <row r="1066" spans="2:11" x14ac:dyDescent="0.3">
      <c r="B1066" s="179">
        <v>101540</v>
      </c>
      <c r="C1066" s="175" t="s">
        <v>1173</v>
      </c>
      <c r="F1066" s="161"/>
      <c r="K1066" s="176"/>
    </row>
    <row r="1067" spans="2:11" x14ac:dyDescent="0.3">
      <c r="B1067" s="179">
        <v>101541</v>
      </c>
      <c r="C1067" s="175" t="s">
        <v>1174</v>
      </c>
      <c r="F1067" s="161"/>
      <c r="K1067" s="176"/>
    </row>
    <row r="1068" spans="2:11" x14ac:dyDescent="0.3">
      <c r="B1068" s="179">
        <v>86528</v>
      </c>
      <c r="C1068" s="175" t="s">
        <v>1175</v>
      </c>
      <c r="F1068" s="161"/>
      <c r="K1068" s="176"/>
    </row>
    <row r="1069" spans="2:11" x14ac:dyDescent="0.3">
      <c r="B1069" s="179">
        <v>101400</v>
      </c>
      <c r="C1069" s="175" t="s">
        <v>1176</v>
      </c>
      <c r="F1069" s="161"/>
      <c r="K1069" s="176"/>
    </row>
    <row r="1070" spans="2:11" x14ac:dyDescent="0.3">
      <c r="B1070" s="179">
        <v>101415</v>
      </c>
      <c r="C1070" s="175" t="s">
        <v>1177</v>
      </c>
      <c r="F1070" s="161"/>
      <c r="K1070" s="176"/>
    </row>
    <row r="1071" spans="2:11" x14ac:dyDescent="0.3">
      <c r="B1071" s="179">
        <v>101506</v>
      </c>
      <c r="C1071" s="175" t="s">
        <v>1178</v>
      </c>
      <c r="F1071" s="161"/>
      <c r="K1071" s="176"/>
    </row>
    <row r="1072" spans="2:11" x14ac:dyDescent="0.3">
      <c r="B1072" s="179">
        <v>2299</v>
      </c>
      <c r="C1072" s="175" t="s">
        <v>1179</v>
      </c>
      <c r="F1072" s="161"/>
      <c r="K1072" s="176"/>
    </row>
    <row r="1073" spans="2:11" x14ac:dyDescent="0.3">
      <c r="B1073" s="179">
        <v>3071</v>
      </c>
      <c r="C1073" s="175" t="s">
        <v>1180</v>
      </c>
      <c r="F1073" s="161"/>
      <c r="K1073" s="176"/>
    </row>
    <row r="1074" spans="2:11" x14ac:dyDescent="0.3">
      <c r="B1074" s="179">
        <v>4561</v>
      </c>
      <c r="C1074" s="175" t="s">
        <v>1181</v>
      </c>
      <c r="F1074" s="161"/>
      <c r="K1074" s="176"/>
    </row>
    <row r="1075" spans="2:11" x14ac:dyDescent="0.3">
      <c r="B1075" s="179">
        <v>8207</v>
      </c>
      <c r="C1075" s="175" t="s">
        <v>1182</v>
      </c>
      <c r="F1075" s="161"/>
      <c r="K1075" s="176"/>
    </row>
    <row r="1076" spans="2:11" x14ac:dyDescent="0.3">
      <c r="B1076" s="179">
        <v>100482</v>
      </c>
      <c r="C1076" s="175" t="s">
        <v>1183</v>
      </c>
      <c r="F1076" s="161"/>
      <c r="K1076" s="176"/>
    </row>
    <row r="1077" spans="2:11" x14ac:dyDescent="0.3">
      <c r="B1077" s="179">
        <v>100820</v>
      </c>
      <c r="C1077" s="175" t="s">
        <v>1184</v>
      </c>
      <c r="F1077" s="161"/>
      <c r="K1077" s="176"/>
    </row>
    <row r="1078" spans="2:11" x14ac:dyDescent="0.3">
      <c r="B1078" s="179">
        <v>101036</v>
      </c>
      <c r="C1078" s="175" t="s">
        <v>1185</v>
      </c>
      <c r="F1078" s="161"/>
      <c r="K1078" s="176"/>
    </row>
    <row r="1079" spans="2:11" x14ac:dyDescent="0.3">
      <c r="B1079" s="179">
        <v>101285</v>
      </c>
      <c r="C1079" s="175" t="s">
        <v>1186</v>
      </c>
      <c r="F1079" s="161"/>
      <c r="K1079" s="176"/>
    </row>
    <row r="1080" spans="2:11" x14ac:dyDescent="0.3">
      <c r="B1080" s="179">
        <v>86173</v>
      </c>
      <c r="C1080" s="175" t="s">
        <v>1187</v>
      </c>
      <c r="F1080" s="161"/>
      <c r="K1080" s="176"/>
    </row>
    <row r="1081" spans="2:11" x14ac:dyDescent="0.3">
      <c r="B1081" s="179">
        <v>87134</v>
      </c>
      <c r="C1081" s="175" t="s">
        <v>1188</v>
      </c>
      <c r="F1081" s="161"/>
      <c r="K1081" s="176"/>
    </row>
    <row r="1082" spans="2:11" x14ac:dyDescent="0.3">
      <c r="B1082" s="179">
        <v>87447</v>
      </c>
      <c r="C1082" s="175" t="s">
        <v>1189</v>
      </c>
      <c r="F1082" s="161"/>
      <c r="K1082" s="176"/>
    </row>
    <row r="1083" spans="2:11" x14ac:dyDescent="0.3">
      <c r="B1083" s="179">
        <v>87719</v>
      </c>
      <c r="C1083" s="175" t="s">
        <v>1190</v>
      </c>
      <c r="F1083" s="161"/>
      <c r="K1083" s="176"/>
    </row>
    <row r="1084" spans="2:11" x14ac:dyDescent="0.3">
      <c r="B1084" s="179">
        <v>87864</v>
      </c>
      <c r="C1084" s="175" t="s">
        <v>1191</v>
      </c>
      <c r="F1084" s="161"/>
      <c r="K1084" s="176"/>
    </row>
    <row r="1085" spans="2:11" x14ac:dyDescent="0.3">
      <c r="B1085" s="179">
        <v>88702</v>
      </c>
      <c r="C1085" s="175" t="s">
        <v>1192</v>
      </c>
      <c r="F1085" s="161"/>
      <c r="K1085" s="176"/>
    </row>
    <row r="1086" spans="2:11" x14ac:dyDescent="0.3">
      <c r="B1086" s="179">
        <v>89847</v>
      </c>
      <c r="C1086" s="175" t="s">
        <v>1193</v>
      </c>
      <c r="F1086" s="161"/>
      <c r="K1086" s="176"/>
    </row>
    <row r="1087" spans="2:11" x14ac:dyDescent="0.3">
      <c r="B1087" s="179">
        <v>90597</v>
      </c>
      <c r="C1087" s="175" t="s">
        <v>1194</v>
      </c>
      <c r="F1087" s="161"/>
      <c r="K1087" s="176"/>
    </row>
    <row r="1088" spans="2:11" x14ac:dyDescent="0.3">
      <c r="B1088" s="179">
        <v>90698</v>
      </c>
      <c r="C1088" s="175" t="s">
        <v>1195</v>
      </c>
      <c r="F1088" s="161"/>
      <c r="K1088" s="176"/>
    </row>
    <row r="1089" spans="2:11" x14ac:dyDescent="0.3">
      <c r="B1089" s="179">
        <v>90761</v>
      </c>
      <c r="C1089" s="175" t="s">
        <v>1196</v>
      </c>
      <c r="F1089" s="161"/>
      <c r="K1089" s="176"/>
    </row>
    <row r="1090" spans="2:11" x14ac:dyDescent="0.3">
      <c r="B1090" s="179">
        <v>100490</v>
      </c>
      <c r="C1090" s="175" t="s">
        <v>1197</v>
      </c>
      <c r="F1090" s="161"/>
      <c r="K1090" s="176"/>
    </row>
    <row r="1091" spans="2:11" x14ac:dyDescent="0.3">
      <c r="B1091" s="179">
        <v>100520</v>
      </c>
      <c r="C1091" s="175" t="s">
        <v>1198</v>
      </c>
      <c r="F1091" s="161"/>
      <c r="K1091" s="176"/>
    </row>
    <row r="1092" spans="2:11" x14ac:dyDescent="0.3">
      <c r="B1092" s="179">
        <v>100523</v>
      </c>
      <c r="C1092" s="175" t="s">
        <v>1199</v>
      </c>
      <c r="F1092" s="161"/>
      <c r="K1092" s="176"/>
    </row>
    <row r="1093" spans="2:11" x14ac:dyDescent="0.3">
      <c r="B1093" s="179">
        <v>100633</v>
      </c>
      <c r="C1093" s="175" t="s">
        <v>1200</v>
      </c>
      <c r="F1093" s="161"/>
      <c r="K1093" s="176"/>
    </row>
    <row r="1094" spans="2:11" x14ac:dyDescent="0.3">
      <c r="B1094" s="179">
        <v>100931</v>
      </c>
      <c r="C1094" s="175" t="s">
        <v>1201</v>
      </c>
      <c r="F1094" s="161"/>
      <c r="K1094" s="176"/>
    </row>
    <row r="1095" spans="2:11" x14ac:dyDescent="0.3">
      <c r="B1095" s="179">
        <v>101313</v>
      </c>
      <c r="C1095" s="175" t="s">
        <v>1202</v>
      </c>
      <c r="F1095" s="161"/>
      <c r="K1095" s="176"/>
    </row>
    <row r="1096" spans="2:11" x14ac:dyDescent="0.3">
      <c r="B1096" s="179">
        <v>101319</v>
      </c>
      <c r="C1096" s="175" t="s">
        <v>1203</v>
      </c>
      <c r="F1096" s="161"/>
      <c r="K1096" s="176"/>
    </row>
    <row r="1097" spans="2:11" x14ac:dyDescent="0.3">
      <c r="B1097" s="179">
        <v>1592</v>
      </c>
      <c r="C1097" s="175" t="s">
        <v>1204</v>
      </c>
      <c r="F1097" s="161"/>
      <c r="K1097" s="176"/>
    </row>
    <row r="1098" spans="2:11" x14ac:dyDescent="0.3">
      <c r="B1098" s="179">
        <v>2094</v>
      </c>
      <c r="C1098" s="175" t="s">
        <v>1205</v>
      </c>
      <c r="F1098" s="161"/>
      <c r="K1098" s="176"/>
    </row>
    <row r="1099" spans="2:11" x14ac:dyDescent="0.3">
      <c r="B1099" s="179">
        <v>3494</v>
      </c>
      <c r="C1099" s="175" t="s">
        <v>1206</v>
      </c>
      <c r="F1099" s="161"/>
      <c r="K1099" s="176"/>
    </row>
    <row r="1100" spans="2:11" x14ac:dyDescent="0.3">
      <c r="B1100" s="179">
        <v>3957</v>
      </c>
      <c r="C1100" s="175" t="s">
        <v>1207</v>
      </c>
      <c r="F1100" s="161"/>
      <c r="K1100" s="176"/>
    </row>
    <row r="1101" spans="2:11" x14ac:dyDescent="0.3">
      <c r="B1101" s="179">
        <v>8128</v>
      </c>
      <c r="C1101" s="175" t="s">
        <v>1208</v>
      </c>
      <c r="F1101" s="161"/>
      <c r="K1101" s="176"/>
    </row>
    <row r="1102" spans="2:11" x14ac:dyDescent="0.3">
      <c r="B1102" s="179">
        <v>9410</v>
      </c>
      <c r="C1102" s="175" t="s">
        <v>1209</v>
      </c>
      <c r="F1102" s="161"/>
      <c r="K1102" s="176"/>
    </row>
    <row r="1103" spans="2:11" x14ac:dyDescent="0.3">
      <c r="B1103" s="179">
        <v>90419</v>
      </c>
      <c r="C1103" s="175" t="s">
        <v>1210</v>
      </c>
      <c r="F1103" s="161"/>
      <c r="K1103" s="176"/>
    </row>
    <row r="1104" spans="2:11" x14ac:dyDescent="0.3">
      <c r="B1104" s="179">
        <v>90539</v>
      </c>
      <c r="C1104" s="175" t="s">
        <v>1211</v>
      </c>
      <c r="F1104" s="161"/>
      <c r="K1104" s="176"/>
    </row>
    <row r="1105" spans="2:11" x14ac:dyDescent="0.3">
      <c r="B1105" s="179">
        <v>100410</v>
      </c>
      <c r="C1105" s="175" t="s">
        <v>1212</v>
      </c>
      <c r="F1105" s="161"/>
      <c r="K1105" s="176"/>
    </row>
    <row r="1106" spans="2:11" x14ac:dyDescent="0.3">
      <c r="B1106" s="179">
        <v>101068</v>
      </c>
      <c r="C1106" s="175" t="s">
        <v>1213</v>
      </c>
      <c r="F1106" s="161"/>
      <c r="K1106" s="176"/>
    </row>
    <row r="1107" spans="2:11" x14ac:dyDescent="0.3">
      <c r="B1107" s="179">
        <v>101159</v>
      </c>
      <c r="C1107" s="175" t="s">
        <v>1214</v>
      </c>
      <c r="F1107" s="161"/>
      <c r="K1107" s="176"/>
    </row>
    <row r="1108" spans="2:11" x14ac:dyDescent="0.3">
      <c r="B1108" s="179">
        <v>101161</v>
      </c>
      <c r="C1108" s="175" t="s">
        <v>1215</v>
      </c>
      <c r="F1108" s="161"/>
      <c r="K1108" s="176"/>
    </row>
    <row r="1109" spans="2:11" x14ac:dyDescent="0.3">
      <c r="B1109" s="179">
        <v>101163</v>
      </c>
      <c r="C1109" s="175" t="s">
        <v>1216</v>
      </c>
      <c r="F1109" s="161"/>
      <c r="K1109" s="176"/>
    </row>
    <row r="1110" spans="2:11" x14ac:dyDescent="0.3">
      <c r="B1110" s="179">
        <v>89284</v>
      </c>
      <c r="C1110" s="175" t="s">
        <v>1217</v>
      </c>
      <c r="F1110" s="161"/>
      <c r="K1110" s="176"/>
    </row>
    <row r="1111" spans="2:11" x14ac:dyDescent="0.3">
      <c r="B1111" s="179">
        <v>89285</v>
      </c>
      <c r="C1111" s="175" t="s">
        <v>1218</v>
      </c>
      <c r="F1111" s="161"/>
      <c r="K1111" s="176"/>
    </row>
    <row r="1112" spans="2:11" x14ac:dyDescent="0.3">
      <c r="B1112" s="179">
        <v>89286</v>
      </c>
      <c r="C1112" s="175" t="s">
        <v>1219</v>
      </c>
      <c r="F1112" s="161"/>
      <c r="K1112" s="176"/>
    </row>
    <row r="1113" spans="2:11" x14ac:dyDescent="0.3">
      <c r="B1113" s="179">
        <v>89287</v>
      </c>
      <c r="C1113" s="175" t="s">
        <v>1220</v>
      </c>
      <c r="F1113" s="161"/>
      <c r="K1113" s="176"/>
    </row>
    <row r="1114" spans="2:11" x14ac:dyDescent="0.3">
      <c r="B1114" s="179">
        <v>89288</v>
      </c>
      <c r="C1114" s="175" t="s">
        <v>1221</v>
      </c>
      <c r="F1114" s="161"/>
      <c r="K1114" s="176"/>
    </row>
    <row r="1115" spans="2:11" x14ac:dyDescent="0.3">
      <c r="B1115" s="179">
        <v>100416</v>
      </c>
      <c r="C1115" s="175" t="s">
        <v>1222</v>
      </c>
      <c r="F1115" s="161"/>
      <c r="K1115" s="176"/>
    </row>
    <row r="1116" spans="2:11" x14ac:dyDescent="0.3">
      <c r="B1116" s="179">
        <v>13623</v>
      </c>
      <c r="C1116" s="175" t="s">
        <v>1223</v>
      </c>
      <c r="F1116" s="161"/>
      <c r="K1116" s="176"/>
    </row>
    <row r="1117" spans="2:11" x14ac:dyDescent="0.3">
      <c r="B1117" s="179">
        <v>15139</v>
      </c>
      <c r="C1117" s="175" t="s">
        <v>1224</v>
      </c>
      <c r="F1117" s="161"/>
      <c r="K1117" s="176"/>
    </row>
    <row r="1118" spans="2:11" x14ac:dyDescent="0.3">
      <c r="B1118" s="179">
        <v>51542</v>
      </c>
      <c r="C1118" s="175" t="s">
        <v>1225</v>
      </c>
      <c r="F1118" s="161"/>
      <c r="K1118" s="176"/>
    </row>
    <row r="1119" spans="2:11" x14ac:dyDescent="0.3">
      <c r="B1119" s="179">
        <v>54568</v>
      </c>
      <c r="C1119" s="175" t="s">
        <v>1226</v>
      </c>
      <c r="F1119" s="161"/>
      <c r="K1119" s="176"/>
    </row>
    <row r="1120" spans="2:11" x14ac:dyDescent="0.3">
      <c r="B1120" s="179">
        <v>100828</v>
      </c>
      <c r="C1120" s="175" t="s">
        <v>1227</v>
      </c>
      <c r="F1120" s="161"/>
      <c r="K1120" s="176"/>
    </row>
    <row r="1121" spans="2:11" x14ac:dyDescent="0.3">
      <c r="B1121" s="179">
        <v>101039</v>
      </c>
      <c r="C1121" s="175" t="s">
        <v>1228</v>
      </c>
      <c r="F1121" s="161"/>
      <c r="K1121" s="176"/>
    </row>
    <row r="1122" spans="2:11" x14ac:dyDescent="0.3">
      <c r="B1122" s="179">
        <v>86068</v>
      </c>
      <c r="C1122" s="175" t="s">
        <v>1229</v>
      </c>
      <c r="F1122" s="161"/>
      <c r="K1122" s="176"/>
    </row>
    <row r="1123" spans="2:11" x14ac:dyDescent="0.3">
      <c r="B1123" s="179">
        <v>86070</v>
      </c>
      <c r="C1123" s="175" t="s">
        <v>1230</v>
      </c>
      <c r="F1123" s="161"/>
      <c r="K1123" s="176"/>
    </row>
    <row r="1124" spans="2:11" x14ac:dyDescent="0.3">
      <c r="B1124" s="179">
        <v>86408</v>
      </c>
      <c r="C1124" s="175" t="s">
        <v>1231</v>
      </c>
      <c r="F1124" s="161"/>
      <c r="K1124" s="176"/>
    </row>
    <row r="1125" spans="2:11" x14ac:dyDescent="0.3">
      <c r="B1125" s="179">
        <v>86537</v>
      </c>
      <c r="C1125" s="175" t="s">
        <v>1232</v>
      </c>
      <c r="F1125" s="161"/>
      <c r="K1125" s="176"/>
    </row>
    <row r="1126" spans="2:11" x14ac:dyDescent="0.3">
      <c r="B1126" s="179">
        <v>86709</v>
      </c>
      <c r="C1126" s="175" t="s">
        <v>1233</v>
      </c>
      <c r="F1126" s="161"/>
      <c r="K1126" s="176"/>
    </row>
    <row r="1127" spans="2:11" x14ac:dyDescent="0.3">
      <c r="B1127" s="179">
        <v>86759</v>
      </c>
      <c r="C1127" s="175" t="s">
        <v>1234</v>
      </c>
      <c r="F1127" s="161"/>
      <c r="K1127" s="176"/>
    </row>
    <row r="1128" spans="2:11" x14ac:dyDescent="0.3">
      <c r="B1128" s="179">
        <v>86765</v>
      </c>
      <c r="C1128" s="175" t="s">
        <v>1235</v>
      </c>
      <c r="F1128" s="161"/>
      <c r="K1128" s="176"/>
    </row>
    <row r="1129" spans="2:11" x14ac:dyDescent="0.3">
      <c r="B1129" s="179">
        <v>87523</v>
      </c>
      <c r="C1129" s="175" t="s">
        <v>1236</v>
      </c>
      <c r="F1129" s="161"/>
      <c r="K1129" s="176"/>
    </row>
    <row r="1130" spans="2:11" x14ac:dyDescent="0.3">
      <c r="B1130" s="179">
        <v>87524</v>
      </c>
      <c r="C1130" s="175" t="s">
        <v>1237</v>
      </c>
      <c r="F1130" s="161"/>
      <c r="K1130" s="176"/>
    </row>
    <row r="1131" spans="2:11" x14ac:dyDescent="0.3">
      <c r="B1131" s="179">
        <v>88072</v>
      </c>
      <c r="C1131" s="175" t="s">
        <v>1238</v>
      </c>
      <c r="F1131" s="161"/>
      <c r="K1131" s="176"/>
    </row>
    <row r="1132" spans="2:11" x14ac:dyDescent="0.3">
      <c r="B1132" s="179">
        <v>88073</v>
      </c>
      <c r="C1132" s="175" t="s">
        <v>1239</v>
      </c>
      <c r="F1132" s="161"/>
      <c r="K1132" s="176"/>
    </row>
    <row r="1133" spans="2:11" x14ac:dyDescent="0.3">
      <c r="B1133" s="179">
        <v>88208</v>
      </c>
      <c r="C1133" s="175" t="s">
        <v>1240</v>
      </c>
      <c r="F1133" s="161"/>
      <c r="K1133" s="176"/>
    </row>
    <row r="1134" spans="2:11" x14ac:dyDescent="0.3">
      <c r="B1134" s="179">
        <v>88209</v>
      </c>
      <c r="C1134" s="175" t="s">
        <v>1241</v>
      </c>
      <c r="F1134" s="161"/>
      <c r="K1134" s="176"/>
    </row>
    <row r="1135" spans="2:11" x14ac:dyDescent="0.3">
      <c r="B1135" s="179">
        <v>88292</v>
      </c>
      <c r="C1135" s="175" t="s">
        <v>1242</v>
      </c>
      <c r="F1135" s="161"/>
      <c r="K1135" s="176"/>
    </row>
    <row r="1136" spans="2:11" x14ac:dyDescent="0.3">
      <c r="B1136" s="179">
        <v>88295</v>
      </c>
      <c r="C1136" s="175" t="s">
        <v>1243</v>
      </c>
      <c r="F1136" s="161"/>
      <c r="K1136" s="176"/>
    </row>
    <row r="1137" spans="2:11" x14ac:dyDescent="0.3">
      <c r="B1137" s="179">
        <v>88386</v>
      </c>
      <c r="C1137" s="175" t="s">
        <v>1244</v>
      </c>
      <c r="F1137" s="161"/>
      <c r="K1137" s="176"/>
    </row>
    <row r="1138" spans="2:11" x14ac:dyDescent="0.3">
      <c r="B1138" s="179">
        <v>88669</v>
      </c>
      <c r="C1138" s="175" t="s">
        <v>1245</v>
      </c>
      <c r="F1138" s="161"/>
      <c r="K1138" s="176"/>
    </row>
    <row r="1139" spans="2:11" x14ac:dyDescent="0.3">
      <c r="B1139" s="179">
        <v>88717</v>
      </c>
      <c r="C1139" s="175" t="s">
        <v>1246</v>
      </c>
      <c r="F1139" s="161"/>
      <c r="K1139" s="176"/>
    </row>
    <row r="1140" spans="2:11" x14ac:dyDescent="0.3">
      <c r="B1140" s="179">
        <v>88750</v>
      </c>
      <c r="C1140" s="175" t="s">
        <v>1247</v>
      </c>
      <c r="F1140" s="161"/>
      <c r="K1140" s="176"/>
    </row>
    <row r="1141" spans="2:11" x14ac:dyDescent="0.3">
      <c r="B1141" s="179">
        <v>88917</v>
      </c>
      <c r="C1141" s="175" t="s">
        <v>1248</v>
      </c>
      <c r="F1141" s="161"/>
      <c r="K1141" s="176"/>
    </row>
    <row r="1142" spans="2:11" x14ac:dyDescent="0.3">
      <c r="B1142" s="179">
        <v>88942</v>
      </c>
      <c r="C1142" s="175" t="s">
        <v>1249</v>
      </c>
      <c r="F1142" s="161"/>
      <c r="K1142" s="176"/>
    </row>
    <row r="1143" spans="2:11" x14ac:dyDescent="0.3">
      <c r="B1143" s="179">
        <v>89019</v>
      </c>
      <c r="C1143" s="175" t="s">
        <v>1250</v>
      </c>
      <c r="F1143" s="161"/>
      <c r="K1143" s="176"/>
    </row>
    <row r="1144" spans="2:11" x14ac:dyDescent="0.3">
      <c r="B1144" s="179">
        <v>89021</v>
      </c>
      <c r="C1144" s="175" t="s">
        <v>1251</v>
      </c>
      <c r="F1144" s="161"/>
      <c r="K1144" s="176"/>
    </row>
    <row r="1145" spans="2:11" x14ac:dyDescent="0.3">
      <c r="B1145" s="179">
        <v>89022</v>
      </c>
      <c r="C1145" s="175" t="s">
        <v>1252</v>
      </c>
      <c r="F1145" s="161"/>
      <c r="K1145" s="176"/>
    </row>
    <row r="1146" spans="2:11" x14ac:dyDescent="0.3">
      <c r="B1146" s="179">
        <v>89023</v>
      </c>
      <c r="C1146" s="175" t="s">
        <v>1253</v>
      </c>
      <c r="F1146" s="161"/>
      <c r="K1146" s="176"/>
    </row>
    <row r="1147" spans="2:11" x14ac:dyDescent="0.3">
      <c r="B1147" s="179">
        <v>89307</v>
      </c>
      <c r="C1147" s="175" t="s">
        <v>1254</v>
      </c>
      <c r="F1147" s="161"/>
      <c r="K1147" s="176"/>
    </row>
    <row r="1148" spans="2:11" x14ac:dyDescent="0.3">
      <c r="B1148" s="179">
        <v>89431</v>
      </c>
      <c r="C1148" s="175" t="s">
        <v>1255</v>
      </c>
      <c r="F1148" s="161"/>
      <c r="K1148" s="176"/>
    </row>
    <row r="1149" spans="2:11" x14ac:dyDescent="0.3">
      <c r="B1149" s="179">
        <v>89591</v>
      </c>
      <c r="C1149" s="175" t="s">
        <v>1256</v>
      </c>
      <c r="F1149" s="161"/>
      <c r="K1149" s="176"/>
    </row>
    <row r="1150" spans="2:11" x14ac:dyDescent="0.3">
      <c r="B1150" s="179">
        <v>89892</v>
      </c>
      <c r="C1150" s="175" t="s">
        <v>1257</v>
      </c>
      <c r="F1150" s="161"/>
      <c r="K1150" s="176"/>
    </row>
    <row r="1151" spans="2:11" x14ac:dyDescent="0.3">
      <c r="B1151" s="179">
        <v>90133</v>
      </c>
      <c r="C1151" s="175" t="s">
        <v>1258</v>
      </c>
      <c r="F1151" s="161"/>
      <c r="K1151" s="176"/>
    </row>
    <row r="1152" spans="2:11" x14ac:dyDescent="0.3">
      <c r="B1152" s="179">
        <v>90134</v>
      </c>
      <c r="C1152" s="175" t="s">
        <v>1259</v>
      </c>
      <c r="F1152" s="161"/>
      <c r="K1152" s="176"/>
    </row>
    <row r="1153" spans="2:11" x14ac:dyDescent="0.3">
      <c r="B1153" s="179">
        <v>100419</v>
      </c>
      <c r="C1153" s="175" t="s">
        <v>1260</v>
      </c>
      <c r="F1153" s="161"/>
      <c r="K1153" s="176"/>
    </row>
    <row r="1154" spans="2:11" x14ac:dyDescent="0.3">
      <c r="B1154" s="179">
        <v>101185</v>
      </c>
      <c r="C1154" s="175" t="s">
        <v>1261</v>
      </c>
      <c r="F1154" s="161"/>
      <c r="K1154" s="176"/>
    </row>
    <row r="1155" spans="2:11" x14ac:dyDescent="0.3">
      <c r="B1155" s="179">
        <v>101186</v>
      </c>
      <c r="C1155" s="175" t="s">
        <v>1262</v>
      </c>
      <c r="F1155" s="161"/>
      <c r="K1155" s="176"/>
    </row>
    <row r="1156" spans="2:11" x14ac:dyDescent="0.3">
      <c r="B1156" s="179">
        <v>101327</v>
      </c>
      <c r="C1156" s="175" t="s">
        <v>1263</v>
      </c>
      <c r="F1156" s="161"/>
      <c r="K1156" s="176"/>
    </row>
    <row r="1157" spans="2:11" x14ac:dyDescent="0.3">
      <c r="B1157" s="179">
        <v>1149</v>
      </c>
      <c r="C1157" s="175" t="s">
        <v>1264</v>
      </c>
      <c r="F1157" s="161"/>
      <c r="K1157" s="176"/>
    </row>
    <row r="1158" spans="2:11" x14ac:dyDescent="0.3">
      <c r="B1158" s="179">
        <v>2069</v>
      </c>
      <c r="C1158" s="175" t="s">
        <v>1265</v>
      </c>
      <c r="F1158" s="161"/>
      <c r="K1158" s="176"/>
    </row>
    <row r="1159" spans="2:11" x14ac:dyDescent="0.3">
      <c r="B1159" s="179">
        <v>2125</v>
      </c>
      <c r="C1159" s="175" t="s">
        <v>1266</v>
      </c>
      <c r="F1159" s="161"/>
      <c r="K1159" s="176"/>
    </row>
    <row r="1160" spans="2:11" x14ac:dyDescent="0.3">
      <c r="B1160" s="179">
        <v>2360</v>
      </c>
      <c r="C1160" s="175" t="s">
        <v>1267</v>
      </c>
      <c r="F1160" s="161"/>
      <c r="K1160" s="176"/>
    </row>
    <row r="1161" spans="2:11" x14ac:dyDescent="0.3">
      <c r="B1161" s="179">
        <v>2802</v>
      </c>
      <c r="C1161" s="175" t="s">
        <v>1268</v>
      </c>
      <c r="F1161" s="161"/>
      <c r="K1161" s="176"/>
    </row>
    <row r="1162" spans="2:11" x14ac:dyDescent="0.3">
      <c r="B1162" s="179">
        <v>2873</v>
      </c>
      <c r="C1162" s="175" t="s">
        <v>1269</v>
      </c>
      <c r="F1162" s="161"/>
      <c r="K1162" s="176"/>
    </row>
    <row r="1163" spans="2:11" x14ac:dyDescent="0.3">
      <c r="B1163" s="179">
        <v>4376</v>
      </c>
      <c r="C1163" s="175" t="s">
        <v>1270</v>
      </c>
      <c r="F1163" s="161"/>
      <c r="K1163" s="176"/>
    </row>
    <row r="1164" spans="2:11" x14ac:dyDescent="0.3">
      <c r="B1164" s="179">
        <v>4922</v>
      </c>
      <c r="C1164" s="175" t="s">
        <v>1271</v>
      </c>
      <c r="F1164" s="161"/>
      <c r="K1164" s="176"/>
    </row>
    <row r="1165" spans="2:11" x14ac:dyDescent="0.3">
      <c r="B1165" s="179">
        <v>4987</v>
      </c>
      <c r="C1165" s="175" t="s">
        <v>1272</v>
      </c>
      <c r="F1165" s="161"/>
      <c r="K1165" s="176"/>
    </row>
    <row r="1166" spans="2:11" x14ac:dyDescent="0.3">
      <c r="B1166" s="179">
        <v>6019</v>
      </c>
      <c r="C1166" s="175" t="s">
        <v>1273</v>
      </c>
      <c r="F1166" s="161"/>
      <c r="K1166" s="176"/>
    </row>
    <row r="1167" spans="2:11" x14ac:dyDescent="0.3">
      <c r="B1167" s="179">
        <v>6357</v>
      </c>
      <c r="C1167" s="175" t="s">
        <v>1274</v>
      </c>
      <c r="F1167" s="161"/>
      <c r="K1167" s="176"/>
    </row>
    <row r="1168" spans="2:11" x14ac:dyDescent="0.3">
      <c r="B1168" s="179">
        <v>7819</v>
      </c>
      <c r="C1168" s="175" t="s">
        <v>1275</v>
      </c>
      <c r="F1168" s="161"/>
      <c r="K1168" s="176"/>
    </row>
    <row r="1169" spans="2:11" x14ac:dyDescent="0.3">
      <c r="B1169" s="179">
        <v>23152</v>
      </c>
      <c r="C1169" s="175" t="s">
        <v>1276</v>
      </c>
      <c r="F1169" s="161"/>
      <c r="K1169" s="176"/>
    </row>
    <row r="1170" spans="2:11" x14ac:dyDescent="0.3">
      <c r="B1170" s="179">
        <v>25233</v>
      </c>
      <c r="C1170" s="175" t="s">
        <v>1277</v>
      </c>
      <c r="F1170" s="161"/>
      <c r="K1170" s="176"/>
    </row>
    <row r="1171" spans="2:11" x14ac:dyDescent="0.3">
      <c r="B1171" s="179">
        <v>66339</v>
      </c>
      <c r="C1171" s="175" t="s">
        <v>1278</v>
      </c>
      <c r="F1171" s="161"/>
      <c r="K1171" s="176"/>
    </row>
    <row r="1172" spans="2:11" x14ac:dyDescent="0.3">
      <c r="B1172" s="179">
        <v>82259</v>
      </c>
      <c r="C1172" s="175" t="s">
        <v>1279</v>
      </c>
      <c r="F1172" s="161"/>
      <c r="K1172" s="176"/>
    </row>
    <row r="1173" spans="2:11" x14ac:dyDescent="0.3">
      <c r="B1173" s="179">
        <v>84307</v>
      </c>
      <c r="C1173" s="175" t="s">
        <v>1280</v>
      </c>
      <c r="F1173" s="161"/>
      <c r="K1173" s="176"/>
    </row>
    <row r="1174" spans="2:11" x14ac:dyDescent="0.3">
      <c r="B1174" s="179">
        <v>90558</v>
      </c>
      <c r="C1174" s="175" t="s">
        <v>1281</v>
      </c>
      <c r="F1174" s="161"/>
      <c r="K1174" s="176"/>
    </row>
    <row r="1175" spans="2:11" x14ac:dyDescent="0.3">
      <c r="B1175" s="179">
        <v>90560</v>
      </c>
      <c r="C1175" s="175" t="s">
        <v>1282</v>
      </c>
      <c r="F1175" s="161"/>
      <c r="K1175" s="176"/>
    </row>
    <row r="1176" spans="2:11" x14ac:dyDescent="0.3">
      <c r="B1176" s="179">
        <v>90742</v>
      </c>
      <c r="C1176" s="175" t="s">
        <v>1283</v>
      </c>
      <c r="F1176" s="161"/>
      <c r="K1176" s="176"/>
    </row>
    <row r="1177" spans="2:11" x14ac:dyDescent="0.3">
      <c r="B1177" s="179">
        <v>90744</v>
      </c>
      <c r="C1177" s="175" t="s">
        <v>1284</v>
      </c>
      <c r="F1177" s="161"/>
      <c r="K1177" s="176"/>
    </row>
    <row r="1178" spans="2:11" x14ac:dyDescent="0.3">
      <c r="B1178" s="179">
        <v>90747</v>
      </c>
      <c r="C1178" s="175" t="s">
        <v>1285</v>
      </c>
      <c r="F1178" s="161"/>
      <c r="K1178" s="176"/>
    </row>
    <row r="1179" spans="2:11" x14ac:dyDescent="0.3">
      <c r="B1179" s="179">
        <v>90750</v>
      </c>
      <c r="C1179" s="175" t="s">
        <v>1286</v>
      </c>
      <c r="F1179" s="161"/>
      <c r="K1179" s="176"/>
    </row>
    <row r="1180" spans="2:11" x14ac:dyDescent="0.3">
      <c r="B1180" s="179">
        <v>100429</v>
      </c>
      <c r="C1180" s="175" t="s">
        <v>1287</v>
      </c>
      <c r="F1180" s="161"/>
      <c r="K1180" s="176"/>
    </row>
    <row r="1181" spans="2:11" x14ac:dyDescent="0.3">
      <c r="B1181" s="179">
        <v>100431</v>
      </c>
      <c r="C1181" s="175" t="s">
        <v>1288</v>
      </c>
      <c r="F1181" s="161"/>
      <c r="K1181" s="176"/>
    </row>
    <row r="1182" spans="2:11" x14ac:dyDescent="0.3">
      <c r="B1182" s="179">
        <v>100653</v>
      </c>
      <c r="C1182" s="175" t="s">
        <v>1289</v>
      </c>
      <c r="F1182" s="161"/>
      <c r="K1182" s="176"/>
    </row>
    <row r="1183" spans="2:11" x14ac:dyDescent="0.3">
      <c r="B1183" s="179">
        <v>100654</v>
      </c>
      <c r="C1183" s="175" t="s">
        <v>1290</v>
      </c>
      <c r="F1183" s="161"/>
      <c r="K1183" s="176"/>
    </row>
    <row r="1184" spans="2:11" x14ac:dyDescent="0.3">
      <c r="B1184" s="179">
        <v>100797</v>
      </c>
      <c r="C1184" s="175" t="s">
        <v>1291</v>
      </c>
      <c r="F1184" s="161"/>
      <c r="K1184" s="176"/>
    </row>
    <row r="1185" spans="2:11" x14ac:dyDescent="0.3">
      <c r="B1185" s="179">
        <v>100977</v>
      </c>
      <c r="C1185" s="175" t="s">
        <v>684</v>
      </c>
      <c r="F1185" s="161"/>
      <c r="K1185" s="176"/>
    </row>
    <row r="1186" spans="2:11" x14ac:dyDescent="0.3">
      <c r="B1186" s="179">
        <v>100978</v>
      </c>
      <c r="C1186" s="175" t="s">
        <v>1292</v>
      </c>
      <c r="F1186" s="161"/>
      <c r="K1186" s="176"/>
    </row>
    <row r="1187" spans="2:11" x14ac:dyDescent="0.3">
      <c r="B1187" s="179">
        <v>100979</v>
      </c>
      <c r="C1187" s="175" t="s">
        <v>1293</v>
      </c>
      <c r="F1187" s="161"/>
      <c r="K1187" s="176"/>
    </row>
    <row r="1188" spans="2:11" x14ac:dyDescent="0.3">
      <c r="B1188" s="179">
        <v>101083</v>
      </c>
      <c r="C1188" s="175" t="s">
        <v>1294</v>
      </c>
      <c r="F1188" s="161"/>
      <c r="K1188" s="176"/>
    </row>
    <row r="1189" spans="2:11" x14ac:dyDescent="0.3">
      <c r="B1189" s="179">
        <v>101085</v>
      </c>
      <c r="C1189" s="175" t="s">
        <v>1295</v>
      </c>
      <c r="F1189" s="161"/>
      <c r="K1189" s="176"/>
    </row>
    <row r="1190" spans="2:11" x14ac:dyDescent="0.3">
      <c r="B1190" s="179">
        <v>101087</v>
      </c>
      <c r="C1190" s="175" t="s">
        <v>1296</v>
      </c>
      <c r="F1190" s="161"/>
      <c r="K1190" s="176"/>
    </row>
    <row r="1191" spans="2:11" x14ac:dyDescent="0.3">
      <c r="B1191" s="179">
        <v>101152</v>
      </c>
      <c r="C1191" s="175" t="s">
        <v>1297</v>
      </c>
      <c r="F1191" s="161"/>
      <c r="K1191" s="176"/>
    </row>
    <row r="1192" spans="2:11" x14ac:dyDescent="0.3">
      <c r="B1192" s="179">
        <v>101153</v>
      </c>
      <c r="C1192" s="175" t="s">
        <v>1298</v>
      </c>
      <c r="F1192" s="161"/>
      <c r="K1192" s="176"/>
    </row>
    <row r="1193" spans="2:11" x14ac:dyDescent="0.3">
      <c r="B1193" s="179">
        <v>86014</v>
      </c>
      <c r="C1193" s="175" t="s">
        <v>1299</v>
      </c>
      <c r="F1193" s="161"/>
      <c r="K1193" s="176"/>
    </row>
    <row r="1194" spans="2:11" x14ac:dyDescent="0.3">
      <c r="B1194" s="179">
        <v>87716</v>
      </c>
      <c r="C1194" s="175" t="s">
        <v>1300</v>
      </c>
      <c r="F1194" s="161"/>
      <c r="K1194" s="176"/>
    </row>
    <row r="1195" spans="2:11" x14ac:dyDescent="0.3">
      <c r="B1195" s="179">
        <v>87901</v>
      </c>
      <c r="C1195" s="175" t="s">
        <v>1301</v>
      </c>
      <c r="F1195" s="161"/>
      <c r="K1195" s="176"/>
    </row>
    <row r="1196" spans="2:11" x14ac:dyDescent="0.3">
      <c r="B1196" s="179">
        <v>90171</v>
      </c>
      <c r="C1196" s="175" t="s">
        <v>1302</v>
      </c>
      <c r="F1196" s="161"/>
      <c r="K1196" s="176"/>
    </row>
    <row r="1197" spans="2:11" x14ac:dyDescent="0.3">
      <c r="B1197" s="179">
        <v>90596</v>
      </c>
      <c r="C1197" s="175" t="s">
        <v>1303</v>
      </c>
      <c r="F1197" s="161"/>
      <c r="K1197" s="176"/>
    </row>
    <row r="1198" spans="2:11" x14ac:dyDescent="0.3">
      <c r="B1198" s="179">
        <v>90656</v>
      </c>
      <c r="C1198" s="175" t="s">
        <v>1304</v>
      </c>
      <c r="F1198" s="161"/>
      <c r="K1198" s="176"/>
    </row>
    <row r="1199" spans="2:11" x14ac:dyDescent="0.3">
      <c r="B1199" s="179">
        <v>90697</v>
      </c>
      <c r="C1199" s="175" t="s">
        <v>1305</v>
      </c>
      <c r="F1199" s="161"/>
      <c r="K1199" s="176"/>
    </row>
    <row r="1200" spans="2:11" x14ac:dyDescent="0.3">
      <c r="B1200" s="179">
        <v>100409</v>
      </c>
      <c r="C1200" s="175" t="s">
        <v>1306</v>
      </c>
      <c r="F1200" s="161"/>
      <c r="K1200" s="176"/>
    </row>
    <row r="1201" spans="2:11" x14ac:dyDescent="0.3">
      <c r="B1201" s="179">
        <v>100935</v>
      </c>
      <c r="C1201" s="175" t="s">
        <v>1307</v>
      </c>
      <c r="F1201" s="161"/>
      <c r="K1201" s="176"/>
    </row>
    <row r="1202" spans="2:11" x14ac:dyDescent="0.3">
      <c r="B1202" s="179">
        <v>2140</v>
      </c>
      <c r="C1202" s="175" t="s">
        <v>1308</v>
      </c>
      <c r="F1202" s="161"/>
      <c r="K1202" s="176"/>
    </row>
    <row r="1203" spans="2:11" x14ac:dyDescent="0.3">
      <c r="B1203" s="179">
        <v>2454</v>
      </c>
      <c r="C1203" s="175" t="s">
        <v>1309</v>
      </c>
      <c r="F1203" s="161"/>
      <c r="K1203" s="176"/>
    </row>
    <row r="1204" spans="2:11" x14ac:dyDescent="0.3">
      <c r="B1204" s="179">
        <v>2505</v>
      </c>
      <c r="C1204" s="175" t="s">
        <v>1310</v>
      </c>
      <c r="F1204" s="161"/>
      <c r="K1204" s="176"/>
    </row>
    <row r="1205" spans="2:11" x14ac:dyDescent="0.3">
      <c r="B1205" s="179">
        <v>2532</v>
      </c>
      <c r="C1205" s="175" t="s">
        <v>1311</v>
      </c>
      <c r="F1205" s="161"/>
      <c r="K1205" s="176"/>
    </row>
    <row r="1206" spans="2:11" x14ac:dyDescent="0.3">
      <c r="B1206" s="179">
        <v>3332</v>
      </c>
      <c r="C1206" s="175" t="s">
        <v>1312</v>
      </c>
      <c r="F1206" s="161"/>
      <c r="K1206" s="176"/>
    </row>
    <row r="1207" spans="2:11" x14ac:dyDescent="0.3">
      <c r="B1207" s="179">
        <v>3422</v>
      </c>
      <c r="C1207" s="175" t="s">
        <v>1313</v>
      </c>
      <c r="F1207" s="161"/>
      <c r="K1207" s="176"/>
    </row>
    <row r="1208" spans="2:11" x14ac:dyDescent="0.3">
      <c r="B1208" s="179">
        <v>3766</v>
      </c>
      <c r="C1208" s="175" t="s">
        <v>1314</v>
      </c>
      <c r="F1208" s="161"/>
      <c r="K1208" s="176"/>
    </row>
    <row r="1209" spans="2:11" x14ac:dyDescent="0.3">
      <c r="B1209" s="179">
        <v>3913</v>
      </c>
      <c r="C1209" s="175" t="s">
        <v>1315</v>
      </c>
      <c r="F1209" s="161"/>
      <c r="K1209" s="176"/>
    </row>
    <row r="1210" spans="2:11" x14ac:dyDescent="0.3">
      <c r="B1210" s="179">
        <v>4341</v>
      </c>
      <c r="C1210" s="175" t="s">
        <v>1316</v>
      </c>
      <c r="F1210" s="161"/>
      <c r="K1210" s="176"/>
    </row>
    <row r="1211" spans="2:11" x14ac:dyDescent="0.3">
      <c r="B1211" s="179">
        <v>28091</v>
      </c>
      <c r="C1211" s="175" t="s">
        <v>1317</v>
      </c>
      <c r="F1211" s="161"/>
      <c r="K1211" s="176"/>
    </row>
    <row r="1212" spans="2:11" x14ac:dyDescent="0.3">
      <c r="B1212" s="179">
        <v>37199</v>
      </c>
      <c r="C1212" s="175" t="s">
        <v>1318</v>
      </c>
      <c r="F1212" s="161"/>
      <c r="K1212" s="176"/>
    </row>
    <row r="1213" spans="2:11" x14ac:dyDescent="0.3">
      <c r="B1213" s="179">
        <v>101310</v>
      </c>
      <c r="C1213" s="175" t="s">
        <v>1319</v>
      </c>
      <c r="F1213" s="161"/>
      <c r="K1213" s="176"/>
    </row>
    <row r="1214" spans="2:11" x14ac:dyDescent="0.3">
      <c r="B1214" s="179">
        <v>101333</v>
      </c>
      <c r="C1214" s="175" t="s">
        <v>1320</v>
      </c>
      <c r="F1214" s="161"/>
      <c r="K1214" s="176"/>
    </row>
    <row r="1215" spans="2:11" x14ac:dyDescent="0.3">
      <c r="B1215" s="179">
        <v>87064</v>
      </c>
      <c r="C1215" s="175" t="s">
        <v>1321</v>
      </c>
      <c r="F1215" s="161"/>
      <c r="K1215" s="176"/>
    </row>
    <row r="1216" spans="2:11" x14ac:dyDescent="0.3">
      <c r="B1216" s="179">
        <v>88246</v>
      </c>
      <c r="C1216" s="175" t="s">
        <v>1322</v>
      </c>
      <c r="F1216" s="161"/>
      <c r="K1216" s="176"/>
    </row>
    <row r="1217" spans="2:11" x14ac:dyDescent="0.3">
      <c r="B1217" s="179">
        <v>89049</v>
      </c>
      <c r="C1217" s="175" t="s">
        <v>1323</v>
      </c>
      <c r="F1217" s="161"/>
      <c r="K1217" s="176"/>
    </row>
    <row r="1218" spans="2:11" x14ac:dyDescent="0.3">
      <c r="B1218" s="179">
        <v>89050</v>
      </c>
      <c r="C1218" s="175" t="s">
        <v>1324</v>
      </c>
      <c r="F1218" s="161"/>
      <c r="K1218" s="176"/>
    </row>
    <row r="1219" spans="2:11" x14ac:dyDescent="0.3">
      <c r="B1219" s="179">
        <v>89364</v>
      </c>
      <c r="C1219" s="175" t="s">
        <v>1325</v>
      </c>
      <c r="F1219" s="161"/>
      <c r="K1219" s="176"/>
    </row>
    <row r="1220" spans="2:11" x14ac:dyDescent="0.3">
      <c r="B1220" s="179">
        <v>89810</v>
      </c>
      <c r="C1220" s="175" t="s">
        <v>1326</v>
      </c>
      <c r="F1220" s="161"/>
      <c r="K1220" s="176"/>
    </row>
    <row r="1221" spans="2:11" x14ac:dyDescent="0.3">
      <c r="B1221" s="179">
        <v>90751</v>
      </c>
      <c r="C1221" s="175" t="s">
        <v>1327</v>
      </c>
      <c r="F1221" s="161"/>
      <c r="K1221" s="176"/>
    </row>
    <row r="1222" spans="2:11" x14ac:dyDescent="0.3">
      <c r="B1222" s="179">
        <v>100629</v>
      </c>
      <c r="C1222" s="175" t="s">
        <v>1328</v>
      </c>
      <c r="F1222" s="161"/>
      <c r="K1222" s="176"/>
    </row>
    <row r="1223" spans="2:11" x14ac:dyDescent="0.3">
      <c r="B1223" s="179">
        <v>2803</v>
      </c>
      <c r="C1223" s="175" t="s">
        <v>1329</v>
      </c>
      <c r="F1223" s="161"/>
      <c r="K1223" s="176"/>
    </row>
    <row r="1224" spans="2:11" x14ac:dyDescent="0.3">
      <c r="B1224" s="179">
        <v>4566</v>
      </c>
      <c r="C1224" s="175" t="s">
        <v>1330</v>
      </c>
      <c r="F1224" s="161"/>
      <c r="K1224" s="176"/>
    </row>
    <row r="1225" spans="2:11" x14ac:dyDescent="0.3">
      <c r="B1225" s="179">
        <v>6289</v>
      </c>
      <c r="C1225" s="175" t="s">
        <v>1331</v>
      </c>
      <c r="F1225" s="161"/>
      <c r="K1225" s="176"/>
    </row>
    <row r="1226" spans="2:11" x14ac:dyDescent="0.3">
      <c r="B1226" s="179">
        <v>90980</v>
      </c>
      <c r="C1226" s="175" t="s">
        <v>1332</v>
      </c>
      <c r="F1226" s="161"/>
      <c r="K1226" s="176"/>
    </row>
    <row r="1227" spans="2:11" x14ac:dyDescent="0.3">
      <c r="B1227" s="179">
        <v>100832</v>
      </c>
      <c r="C1227" s="175" t="s">
        <v>1333</v>
      </c>
      <c r="F1227" s="161"/>
      <c r="K1227" s="176"/>
    </row>
    <row r="1228" spans="2:11" x14ac:dyDescent="0.3">
      <c r="B1228" s="179">
        <v>100971</v>
      </c>
      <c r="C1228" s="175" t="s">
        <v>1334</v>
      </c>
      <c r="F1228" s="161"/>
      <c r="K1228" s="176"/>
    </row>
    <row r="1229" spans="2:11" x14ac:dyDescent="0.3">
      <c r="B1229" s="179">
        <v>101049</v>
      </c>
      <c r="C1229" s="175" t="s">
        <v>1335</v>
      </c>
      <c r="F1229" s="161"/>
      <c r="K1229" s="176"/>
    </row>
    <row r="1230" spans="2:11" x14ac:dyDescent="0.3">
      <c r="B1230" s="179">
        <v>101442</v>
      </c>
      <c r="C1230" s="175" t="s">
        <v>1336</v>
      </c>
      <c r="F1230" s="161"/>
      <c r="K1230" s="176"/>
    </row>
    <row r="1231" spans="2:11" x14ac:dyDescent="0.3">
      <c r="B1231" s="179">
        <v>84004</v>
      </c>
      <c r="C1231" s="175" t="s">
        <v>1337</v>
      </c>
      <c r="F1231" s="161"/>
      <c r="K1231" s="176"/>
    </row>
    <row r="1232" spans="2:11" x14ac:dyDescent="0.3">
      <c r="B1232" s="179">
        <v>85719</v>
      </c>
      <c r="C1232" s="175" t="s">
        <v>1338</v>
      </c>
      <c r="F1232" s="161"/>
      <c r="K1232" s="176"/>
    </row>
    <row r="1233" spans="2:11" x14ac:dyDescent="0.3">
      <c r="B1233" s="179">
        <v>85893</v>
      </c>
      <c r="C1233" s="175" t="s">
        <v>1339</v>
      </c>
      <c r="F1233" s="161"/>
      <c r="K1233" s="176"/>
    </row>
    <row r="1234" spans="2:11" x14ac:dyDescent="0.3">
      <c r="B1234" s="179">
        <v>86907</v>
      </c>
      <c r="C1234" s="175" t="s">
        <v>1340</v>
      </c>
      <c r="F1234" s="161"/>
      <c r="K1234" s="176"/>
    </row>
    <row r="1235" spans="2:11" x14ac:dyDescent="0.3">
      <c r="B1235" s="179">
        <v>87782</v>
      </c>
      <c r="C1235" s="175" t="s">
        <v>1341</v>
      </c>
      <c r="F1235" s="161"/>
      <c r="K1235" s="176"/>
    </row>
    <row r="1236" spans="2:11" x14ac:dyDescent="0.3">
      <c r="B1236" s="179">
        <v>88730</v>
      </c>
      <c r="C1236" s="175" t="s">
        <v>1342</v>
      </c>
      <c r="F1236" s="161"/>
      <c r="K1236" s="176"/>
    </row>
    <row r="1237" spans="2:11" x14ac:dyDescent="0.3">
      <c r="B1237" s="179">
        <v>90252</v>
      </c>
      <c r="C1237" s="175" t="s">
        <v>1343</v>
      </c>
      <c r="F1237" s="161"/>
      <c r="K1237" s="176"/>
    </row>
    <row r="1238" spans="2:11" x14ac:dyDescent="0.3">
      <c r="B1238" s="179">
        <v>90482</v>
      </c>
      <c r="C1238" s="175" t="s">
        <v>1344</v>
      </c>
      <c r="F1238" s="161"/>
      <c r="K1238" s="176"/>
    </row>
    <row r="1239" spans="2:11" x14ac:dyDescent="0.3">
      <c r="B1239" s="179">
        <v>90972</v>
      </c>
      <c r="C1239" s="175" t="s">
        <v>1345</v>
      </c>
      <c r="F1239" s="161"/>
      <c r="K1239" s="176"/>
    </row>
    <row r="1240" spans="2:11" x14ac:dyDescent="0.3">
      <c r="B1240" s="179">
        <v>9358</v>
      </c>
      <c r="C1240" s="175" t="s">
        <v>1346</v>
      </c>
      <c r="F1240" s="161"/>
      <c r="K1240" s="176"/>
    </row>
    <row r="1241" spans="2:11" x14ac:dyDescent="0.3">
      <c r="B1241" s="179">
        <v>14492</v>
      </c>
      <c r="C1241" s="175" t="s">
        <v>1347</v>
      </c>
      <c r="F1241" s="161"/>
      <c r="K1241" s="176"/>
    </row>
    <row r="1242" spans="2:11" x14ac:dyDescent="0.3">
      <c r="B1242" s="179">
        <v>41942</v>
      </c>
      <c r="C1242" s="175" t="s">
        <v>1348</v>
      </c>
      <c r="F1242" s="161"/>
      <c r="K1242" s="176"/>
    </row>
    <row r="1243" spans="2:11" x14ac:dyDescent="0.3">
      <c r="B1243" s="179">
        <v>90934</v>
      </c>
      <c r="C1243" s="175" t="s">
        <v>1349</v>
      </c>
      <c r="F1243" s="161"/>
      <c r="K1243" s="176"/>
    </row>
    <row r="1244" spans="2:11" x14ac:dyDescent="0.3">
      <c r="B1244" s="179">
        <v>101254</v>
      </c>
      <c r="C1244" s="175" t="s">
        <v>1350</v>
      </c>
      <c r="F1244" s="161"/>
      <c r="K1244" s="176"/>
    </row>
    <row r="1245" spans="2:11" x14ac:dyDescent="0.3">
      <c r="B1245" s="179">
        <v>5687</v>
      </c>
      <c r="C1245" s="175" t="s">
        <v>1351</v>
      </c>
      <c r="F1245" s="161"/>
      <c r="K1245" s="176"/>
    </row>
    <row r="1246" spans="2:11" x14ac:dyDescent="0.3">
      <c r="B1246" s="179">
        <v>2432</v>
      </c>
      <c r="C1246" s="175" t="s">
        <v>1352</v>
      </c>
      <c r="F1246" s="161"/>
      <c r="K1246" s="176"/>
    </row>
    <row r="1247" spans="2:11" x14ac:dyDescent="0.3">
      <c r="B1247" s="179">
        <v>3172</v>
      </c>
      <c r="C1247" s="175" t="s">
        <v>1353</v>
      </c>
      <c r="F1247" s="161"/>
      <c r="K1247" s="176"/>
    </row>
    <row r="1248" spans="2:11" x14ac:dyDescent="0.3">
      <c r="B1248" s="179">
        <v>4246</v>
      </c>
      <c r="C1248" s="175" t="s">
        <v>1354</v>
      </c>
      <c r="F1248" s="161"/>
      <c r="K1248" s="176"/>
    </row>
    <row r="1249" spans="2:11" x14ac:dyDescent="0.3">
      <c r="B1249" s="179">
        <v>5949</v>
      </c>
      <c r="C1249" s="175" t="s">
        <v>1355</v>
      </c>
      <c r="F1249" s="161"/>
      <c r="K1249" s="176"/>
    </row>
    <row r="1250" spans="2:11" x14ac:dyDescent="0.3">
      <c r="B1250" s="179">
        <v>6164</v>
      </c>
      <c r="C1250" s="175" t="s">
        <v>1356</v>
      </c>
      <c r="F1250" s="161"/>
      <c r="K1250" s="176"/>
    </row>
    <row r="1251" spans="2:11" x14ac:dyDescent="0.3">
      <c r="B1251" s="179">
        <v>10131</v>
      </c>
      <c r="C1251" s="175" t="s">
        <v>1357</v>
      </c>
      <c r="F1251" s="161"/>
      <c r="K1251" s="176"/>
    </row>
    <row r="1252" spans="2:11" x14ac:dyDescent="0.3">
      <c r="B1252" s="179">
        <v>87376</v>
      </c>
      <c r="C1252" s="175" t="s">
        <v>1358</v>
      </c>
      <c r="F1252" s="161"/>
      <c r="K1252" s="176"/>
    </row>
    <row r="1253" spans="2:11" x14ac:dyDescent="0.3">
      <c r="B1253" s="179">
        <v>87783</v>
      </c>
      <c r="C1253" s="175" t="s">
        <v>1359</v>
      </c>
      <c r="F1253" s="161"/>
      <c r="K1253" s="176"/>
    </row>
    <row r="1254" spans="2:11" x14ac:dyDescent="0.3">
      <c r="B1254" s="179">
        <v>88128</v>
      </c>
      <c r="C1254" s="175" t="s">
        <v>1360</v>
      </c>
      <c r="F1254" s="161"/>
      <c r="K1254" s="176"/>
    </row>
    <row r="1255" spans="2:11" x14ac:dyDescent="0.3">
      <c r="B1255" s="179">
        <v>89690</v>
      </c>
      <c r="C1255" s="175" t="s">
        <v>1361</v>
      </c>
      <c r="F1255" s="161"/>
      <c r="K1255" s="176"/>
    </row>
    <row r="1256" spans="2:11" x14ac:dyDescent="0.3">
      <c r="B1256" s="179">
        <v>101121</v>
      </c>
      <c r="C1256" s="175" t="s">
        <v>1362</v>
      </c>
      <c r="F1256" s="161"/>
      <c r="K1256" s="176"/>
    </row>
    <row r="1257" spans="2:11" x14ac:dyDescent="0.3">
      <c r="B1257" s="179">
        <v>101486</v>
      </c>
      <c r="C1257" s="175" t="s">
        <v>1363</v>
      </c>
      <c r="F1257" s="161"/>
      <c r="K1257" s="176"/>
    </row>
    <row r="1258" spans="2:11" x14ac:dyDescent="0.3">
      <c r="B1258" s="179">
        <v>73378</v>
      </c>
      <c r="C1258" s="175" t="s">
        <v>1364</v>
      </c>
      <c r="F1258" s="161"/>
      <c r="K1258" s="176"/>
    </row>
    <row r="1259" spans="2:11" x14ac:dyDescent="0.3">
      <c r="B1259" s="179">
        <v>79743</v>
      </c>
      <c r="C1259" s="175" t="s">
        <v>1365</v>
      </c>
      <c r="F1259" s="161"/>
      <c r="K1259" s="176"/>
    </row>
    <row r="1260" spans="2:11" x14ac:dyDescent="0.3">
      <c r="B1260" s="179">
        <v>100729</v>
      </c>
      <c r="C1260" s="175" t="s">
        <v>1366</v>
      </c>
      <c r="F1260" s="161"/>
      <c r="K1260" s="176"/>
    </row>
    <row r="1261" spans="2:11" x14ac:dyDescent="0.3">
      <c r="B1261" s="179">
        <v>100962</v>
      </c>
      <c r="C1261" s="175" t="s">
        <v>1367</v>
      </c>
      <c r="F1261" s="161"/>
      <c r="K1261" s="176"/>
    </row>
    <row r="1262" spans="2:11" x14ac:dyDescent="0.3">
      <c r="B1262" s="179">
        <v>101460</v>
      </c>
      <c r="C1262" s="175" t="s">
        <v>1368</v>
      </c>
      <c r="F1262" s="161"/>
      <c r="K1262" s="176"/>
    </row>
    <row r="1263" spans="2:11" x14ac:dyDescent="0.3">
      <c r="B1263" s="179">
        <v>89237</v>
      </c>
      <c r="C1263" s="175" t="s">
        <v>1369</v>
      </c>
      <c r="F1263" s="161"/>
      <c r="K1263" s="176"/>
    </row>
    <row r="1264" spans="2:11" x14ac:dyDescent="0.3">
      <c r="B1264" s="179">
        <v>89386</v>
      </c>
      <c r="C1264" s="175" t="s">
        <v>1370</v>
      </c>
      <c r="F1264" s="161"/>
      <c r="K1264" s="176"/>
    </row>
    <row r="1265" spans="2:11" x14ac:dyDescent="0.3">
      <c r="B1265" s="179">
        <v>89883</v>
      </c>
      <c r="C1265" s="175" t="s">
        <v>1371</v>
      </c>
      <c r="F1265" s="161"/>
      <c r="K1265" s="176"/>
    </row>
    <row r="1266" spans="2:11" x14ac:dyDescent="0.3">
      <c r="B1266" s="179">
        <v>90156</v>
      </c>
      <c r="C1266" s="175" t="s">
        <v>1372</v>
      </c>
      <c r="F1266" s="161"/>
      <c r="K1266" s="176"/>
    </row>
    <row r="1267" spans="2:11" x14ac:dyDescent="0.3">
      <c r="B1267" s="179">
        <v>91182</v>
      </c>
      <c r="C1267" s="175" t="s">
        <v>1373</v>
      </c>
      <c r="F1267" s="161"/>
      <c r="K1267" s="176"/>
    </row>
    <row r="1268" spans="2:11" x14ac:dyDescent="0.3">
      <c r="B1268" s="179">
        <v>100548</v>
      </c>
      <c r="C1268" s="175" t="s">
        <v>1374</v>
      </c>
      <c r="F1268" s="161"/>
      <c r="K1268" s="176"/>
    </row>
    <row r="1269" spans="2:11" x14ac:dyDescent="0.3">
      <c r="B1269" s="179">
        <v>100897</v>
      </c>
      <c r="C1269" s="175" t="s">
        <v>1375</v>
      </c>
      <c r="F1269" s="161"/>
      <c r="K1269" s="176"/>
    </row>
    <row r="1270" spans="2:11" x14ac:dyDescent="0.3">
      <c r="B1270" s="179">
        <v>101289</v>
      </c>
      <c r="C1270" s="175" t="s">
        <v>1376</v>
      </c>
      <c r="F1270" s="161"/>
      <c r="K1270" s="176"/>
    </row>
    <row r="1271" spans="2:11" x14ac:dyDescent="0.3">
      <c r="B1271" s="179">
        <v>101452</v>
      </c>
      <c r="C1271" s="175" t="s">
        <v>1377</v>
      </c>
      <c r="F1271" s="161"/>
      <c r="K1271" s="176"/>
    </row>
    <row r="1272" spans="2:11" x14ac:dyDescent="0.3">
      <c r="B1272" s="179">
        <v>2556</v>
      </c>
      <c r="C1272" s="175" t="s">
        <v>1378</v>
      </c>
      <c r="F1272" s="161"/>
      <c r="K1272" s="176"/>
    </row>
    <row r="1273" spans="2:11" x14ac:dyDescent="0.3">
      <c r="B1273" s="179">
        <v>3833</v>
      </c>
      <c r="C1273" s="175" t="s">
        <v>1379</v>
      </c>
      <c r="F1273" s="161"/>
      <c r="K1273" s="176"/>
    </row>
    <row r="1274" spans="2:11" x14ac:dyDescent="0.3">
      <c r="B1274" s="179">
        <v>4927</v>
      </c>
      <c r="C1274" s="175" t="s">
        <v>1380</v>
      </c>
      <c r="F1274" s="161"/>
      <c r="K1274" s="176"/>
    </row>
    <row r="1275" spans="2:11" x14ac:dyDescent="0.3">
      <c r="B1275" s="179">
        <v>6378</v>
      </c>
      <c r="C1275" s="175" t="s">
        <v>1381</v>
      </c>
      <c r="F1275" s="161"/>
      <c r="K1275" s="176"/>
    </row>
    <row r="1276" spans="2:11" x14ac:dyDescent="0.3">
      <c r="B1276" s="179">
        <v>7662</v>
      </c>
      <c r="C1276" s="175" t="s">
        <v>1382</v>
      </c>
      <c r="F1276" s="161"/>
      <c r="K1276" s="176"/>
    </row>
    <row r="1277" spans="2:11" x14ac:dyDescent="0.3">
      <c r="B1277" s="179">
        <v>74200</v>
      </c>
      <c r="C1277" s="175" t="s">
        <v>1383</v>
      </c>
      <c r="F1277" s="161"/>
      <c r="K1277" s="176"/>
    </row>
    <row r="1278" spans="2:11" x14ac:dyDescent="0.3">
      <c r="B1278" s="179">
        <v>90399</v>
      </c>
      <c r="C1278" s="175" t="s">
        <v>1384</v>
      </c>
      <c r="F1278" s="161"/>
      <c r="K1278" s="176"/>
    </row>
    <row r="1279" spans="2:11" x14ac:dyDescent="0.3">
      <c r="B1279" s="179">
        <v>90869</v>
      </c>
      <c r="C1279" s="175" t="s">
        <v>1385</v>
      </c>
      <c r="F1279" s="161"/>
      <c r="K1279" s="176"/>
    </row>
    <row r="1280" spans="2:11" x14ac:dyDescent="0.3">
      <c r="B1280" s="179">
        <v>90873</v>
      </c>
      <c r="C1280" s="175" t="s">
        <v>1386</v>
      </c>
      <c r="F1280" s="161"/>
      <c r="K1280" s="176"/>
    </row>
    <row r="1281" spans="2:11" x14ac:dyDescent="0.3">
      <c r="B1281" s="179">
        <v>100547</v>
      </c>
      <c r="C1281" s="175" t="s">
        <v>1387</v>
      </c>
      <c r="F1281" s="161"/>
      <c r="K1281" s="176"/>
    </row>
    <row r="1282" spans="2:11" x14ac:dyDescent="0.3">
      <c r="B1282" s="179">
        <v>100894</v>
      </c>
      <c r="C1282" s="175" t="s">
        <v>1388</v>
      </c>
      <c r="F1282" s="161"/>
      <c r="K1282" s="176"/>
    </row>
    <row r="1283" spans="2:11" x14ac:dyDescent="0.3">
      <c r="B1283" s="179">
        <v>88022</v>
      </c>
      <c r="C1283" s="175" t="s">
        <v>1389</v>
      </c>
      <c r="F1283" s="161"/>
      <c r="K1283" s="176"/>
    </row>
    <row r="1284" spans="2:11" x14ac:dyDescent="0.3">
      <c r="B1284" s="179">
        <v>88848</v>
      </c>
      <c r="C1284" s="175" t="s">
        <v>1390</v>
      </c>
      <c r="F1284" s="161"/>
      <c r="K1284" s="176"/>
    </row>
    <row r="1285" spans="2:11" x14ac:dyDescent="0.3">
      <c r="B1285" s="179">
        <v>88849</v>
      </c>
      <c r="C1285" s="175" t="s">
        <v>1391</v>
      </c>
      <c r="F1285" s="161"/>
      <c r="K1285" s="176"/>
    </row>
    <row r="1286" spans="2:11" x14ac:dyDescent="0.3">
      <c r="B1286" s="179">
        <v>88865</v>
      </c>
      <c r="C1286" s="175" t="s">
        <v>1392</v>
      </c>
      <c r="F1286" s="161"/>
      <c r="K1286" s="176"/>
    </row>
    <row r="1287" spans="2:11" x14ac:dyDescent="0.3">
      <c r="B1287" s="179">
        <v>89276</v>
      </c>
      <c r="C1287" s="175" t="s">
        <v>1393</v>
      </c>
      <c r="F1287" s="161"/>
      <c r="K1287" s="176"/>
    </row>
    <row r="1288" spans="2:11" x14ac:dyDescent="0.3">
      <c r="B1288" s="179">
        <v>89305</v>
      </c>
      <c r="C1288" s="175" t="s">
        <v>1394</v>
      </c>
      <c r="F1288" s="161"/>
      <c r="K1288" s="176"/>
    </row>
    <row r="1289" spans="2:11" x14ac:dyDescent="0.3">
      <c r="B1289" s="179">
        <v>91146</v>
      </c>
      <c r="C1289" s="175" t="s">
        <v>1395</v>
      </c>
      <c r="F1289" s="161"/>
      <c r="K1289" s="176"/>
    </row>
    <row r="1290" spans="2:11" x14ac:dyDescent="0.3">
      <c r="B1290" s="179">
        <v>100679</v>
      </c>
      <c r="C1290" s="175" t="s">
        <v>1396</v>
      </c>
      <c r="F1290" s="161"/>
      <c r="K1290" s="176"/>
    </row>
    <row r="1291" spans="2:11" x14ac:dyDescent="0.3">
      <c r="B1291" s="179">
        <v>100878</v>
      </c>
      <c r="C1291" s="175" t="s">
        <v>1397</v>
      </c>
      <c r="F1291" s="161"/>
      <c r="K1291" s="176"/>
    </row>
    <row r="1292" spans="2:11" x14ac:dyDescent="0.3">
      <c r="B1292" s="179">
        <v>100954</v>
      </c>
      <c r="C1292" s="175" t="s">
        <v>1398</v>
      </c>
      <c r="F1292" s="161"/>
      <c r="K1292" s="176"/>
    </row>
    <row r="1293" spans="2:11" x14ac:dyDescent="0.3">
      <c r="B1293" s="179">
        <v>101038</v>
      </c>
      <c r="C1293" s="175" t="s">
        <v>1399</v>
      </c>
      <c r="F1293" s="161"/>
      <c r="K1293" s="176"/>
    </row>
    <row r="1294" spans="2:11" x14ac:dyDescent="0.3">
      <c r="B1294" s="179">
        <v>101094</v>
      </c>
      <c r="C1294" s="175" t="s">
        <v>1400</v>
      </c>
      <c r="F1294" s="161"/>
      <c r="K1294" s="176"/>
    </row>
    <row r="1295" spans="2:11" x14ac:dyDescent="0.3">
      <c r="B1295" s="179">
        <v>101183</v>
      </c>
      <c r="C1295" s="175" t="s">
        <v>1401</v>
      </c>
      <c r="F1295" s="161"/>
      <c r="K1295" s="176"/>
    </row>
    <row r="1296" spans="2:11" x14ac:dyDescent="0.3">
      <c r="B1296" s="179">
        <v>101382</v>
      </c>
      <c r="C1296" s="175" t="s">
        <v>1402</v>
      </c>
      <c r="F1296" s="161"/>
      <c r="K1296" s="176"/>
    </row>
    <row r="1297" spans="2:11" x14ac:dyDescent="0.3">
      <c r="B1297" s="179">
        <v>101453</v>
      </c>
      <c r="C1297" s="175" t="s">
        <v>1403</v>
      </c>
      <c r="F1297" s="161"/>
      <c r="K1297" s="176"/>
    </row>
    <row r="1298" spans="2:11" x14ac:dyDescent="0.3">
      <c r="B1298" s="179">
        <v>2555</v>
      </c>
      <c r="C1298" s="175" t="s">
        <v>1404</v>
      </c>
      <c r="F1298" s="161"/>
      <c r="K1298" s="176"/>
    </row>
    <row r="1299" spans="2:11" x14ac:dyDescent="0.3">
      <c r="B1299" s="179">
        <v>2557</v>
      </c>
      <c r="C1299" s="175" t="s">
        <v>1405</v>
      </c>
      <c r="F1299" s="161"/>
      <c r="K1299" s="176"/>
    </row>
    <row r="1300" spans="2:11" x14ac:dyDescent="0.3">
      <c r="B1300" s="179">
        <v>4345</v>
      </c>
      <c r="C1300" s="175" t="s">
        <v>1406</v>
      </c>
      <c r="F1300" s="161"/>
      <c r="K1300" s="176"/>
    </row>
    <row r="1301" spans="2:11" x14ac:dyDescent="0.3">
      <c r="B1301" s="179">
        <v>7663</v>
      </c>
      <c r="C1301" s="175" t="s">
        <v>1407</v>
      </c>
      <c r="F1301" s="161"/>
      <c r="K1301" s="176"/>
    </row>
    <row r="1302" spans="2:11" x14ac:dyDescent="0.3">
      <c r="B1302" s="179">
        <v>7765</v>
      </c>
      <c r="C1302" s="175" t="s">
        <v>1408</v>
      </c>
      <c r="F1302" s="161"/>
      <c r="K1302" s="176"/>
    </row>
    <row r="1303" spans="2:11" x14ac:dyDescent="0.3">
      <c r="B1303" s="179">
        <v>91095</v>
      </c>
      <c r="C1303" s="175" t="s">
        <v>1409</v>
      </c>
      <c r="F1303" s="161"/>
      <c r="K1303" s="176"/>
    </row>
    <row r="1304" spans="2:11" x14ac:dyDescent="0.3">
      <c r="B1304" s="179">
        <v>100680</v>
      </c>
      <c r="C1304" s="175" t="s">
        <v>1410</v>
      </c>
      <c r="F1304" s="161"/>
      <c r="K1304" s="176"/>
    </row>
    <row r="1305" spans="2:11" x14ac:dyDescent="0.3">
      <c r="B1305" s="179">
        <v>100742</v>
      </c>
      <c r="C1305" s="175" t="s">
        <v>1411</v>
      </c>
      <c r="F1305" s="161"/>
      <c r="K1305" s="176"/>
    </row>
    <row r="1306" spans="2:11" x14ac:dyDescent="0.3">
      <c r="B1306" s="179">
        <v>89707</v>
      </c>
      <c r="C1306" s="175" t="s">
        <v>1412</v>
      </c>
      <c r="F1306" s="161"/>
      <c r="K1306" s="176"/>
    </row>
    <row r="1307" spans="2:11" x14ac:dyDescent="0.3">
      <c r="B1307" s="179">
        <v>90270</v>
      </c>
      <c r="C1307" s="175" t="s">
        <v>1413</v>
      </c>
      <c r="F1307" s="161"/>
      <c r="K1307" s="176"/>
    </row>
    <row r="1308" spans="2:11" x14ac:dyDescent="0.3">
      <c r="B1308" s="179">
        <v>90272</v>
      </c>
      <c r="C1308" s="175" t="s">
        <v>1414</v>
      </c>
      <c r="F1308" s="161"/>
      <c r="K1308" s="176"/>
    </row>
    <row r="1309" spans="2:11" x14ac:dyDescent="0.3">
      <c r="B1309" s="179">
        <v>91080</v>
      </c>
      <c r="C1309" s="175" t="s">
        <v>1415</v>
      </c>
      <c r="F1309" s="161"/>
      <c r="K1309" s="176"/>
    </row>
    <row r="1310" spans="2:11" x14ac:dyDescent="0.3">
      <c r="B1310" s="179">
        <v>91157</v>
      </c>
      <c r="C1310" s="175" t="s">
        <v>1416</v>
      </c>
      <c r="F1310" s="161"/>
      <c r="K1310" s="176"/>
    </row>
    <row r="1311" spans="2:11" x14ac:dyDescent="0.3">
      <c r="B1311" s="179">
        <v>91162</v>
      </c>
      <c r="C1311" s="175" t="s">
        <v>1417</v>
      </c>
      <c r="F1311" s="161"/>
      <c r="K1311" s="176"/>
    </row>
    <row r="1312" spans="2:11" x14ac:dyDescent="0.3">
      <c r="B1312" s="179">
        <v>12419</v>
      </c>
      <c r="C1312" s="175" t="s">
        <v>1418</v>
      </c>
      <c r="F1312" s="161"/>
      <c r="K1312" s="176"/>
    </row>
    <row r="1313" spans="2:11" x14ac:dyDescent="0.3">
      <c r="B1313" s="179">
        <v>80667</v>
      </c>
      <c r="C1313" s="175" t="s">
        <v>1419</v>
      </c>
      <c r="F1313" s="161"/>
      <c r="K1313" s="176"/>
    </row>
    <row r="1314" spans="2:11" x14ac:dyDescent="0.3">
      <c r="B1314" s="179">
        <v>86586</v>
      </c>
      <c r="C1314" s="175" t="s">
        <v>1420</v>
      </c>
      <c r="F1314" s="161"/>
      <c r="K1314" s="176"/>
    </row>
    <row r="1315" spans="2:11" x14ac:dyDescent="0.3">
      <c r="B1315" s="179">
        <v>88562</v>
      </c>
      <c r="C1315" s="175" t="s">
        <v>1421</v>
      </c>
      <c r="F1315" s="161"/>
      <c r="K1315" s="176"/>
    </row>
    <row r="1316" spans="2:11" x14ac:dyDescent="0.3">
      <c r="B1316" s="179">
        <v>88612</v>
      </c>
      <c r="C1316" s="175" t="s">
        <v>1422</v>
      </c>
      <c r="F1316" s="161"/>
      <c r="K1316" s="176"/>
    </row>
    <row r="1317" spans="2:11" x14ac:dyDescent="0.3">
      <c r="B1317" s="179">
        <v>88697</v>
      </c>
      <c r="C1317" s="175" t="s">
        <v>1423</v>
      </c>
      <c r="F1317" s="161"/>
      <c r="K1317" s="176"/>
    </row>
    <row r="1318" spans="2:11" x14ac:dyDescent="0.3">
      <c r="B1318" s="179">
        <v>89171</v>
      </c>
      <c r="C1318" s="175" t="s">
        <v>1424</v>
      </c>
      <c r="F1318" s="161"/>
      <c r="K1318" s="176"/>
    </row>
    <row r="1319" spans="2:11" x14ac:dyDescent="0.3">
      <c r="B1319" s="179">
        <v>89173</v>
      </c>
      <c r="C1319" s="175" t="s">
        <v>1425</v>
      </c>
      <c r="F1319" s="161"/>
      <c r="K1319" s="176"/>
    </row>
    <row r="1320" spans="2:11" x14ac:dyDescent="0.3">
      <c r="B1320" s="179">
        <v>89397</v>
      </c>
      <c r="C1320" s="175" t="s">
        <v>1426</v>
      </c>
      <c r="F1320" s="161"/>
      <c r="K1320" s="176"/>
    </row>
    <row r="1321" spans="2:11" x14ac:dyDescent="0.3">
      <c r="B1321" s="179">
        <v>89689</v>
      </c>
      <c r="C1321" s="175" t="s">
        <v>1427</v>
      </c>
      <c r="F1321" s="161"/>
      <c r="K1321" s="176"/>
    </row>
    <row r="1322" spans="2:11" x14ac:dyDescent="0.3">
      <c r="B1322" s="179">
        <v>90128</v>
      </c>
      <c r="C1322" s="175" t="s">
        <v>1428</v>
      </c>
      <c r="F1322" s="161"/>
      <c r="K1322" s="176"/>
    </row>
    <row r="1323" spans="2:11" x14ac:dyDescent="0.3">
      <c r="B1323" s="179">
        <v>90129</v>
      </c>
      <c r="C1323" s="175" t="s">
        <v>1429</v>
      </c>
      <c r="F1323" s="161"/>
      <c r="K1323" s="176"/>
    </row>
    <row r="1324" spans="2:11" x14ac:dyDescent="0.3">
      <c r="B1324" s="179">
        <v>90130</v>
      </c>
      <c r="C1324" s="175" t="s">
        <v>1430</v>
      </c>
      <c r="F1324" s="161"/>
      <c r="K1324" s="176"/>
    </row>
    <row r="1325" spans="2:11" x14ac:dyDescent="0.3">
      <c r="B1325" s="179">
        <v>90658</v>
      </c>
      <c r="C1325" s="175" t="s">
        <v>1431</v>
      </c>
      <c r="F1325" s="161"/>
      <c r="K1325" s="176"/>
    </row>
    <row r="1326" spans="2:11" x14ac:dyDescent="0.3">
      <c r="B1326" s="179">
        <v>90892</v>
      </c>
      <c r="C1326" s="175" t="s">
        <v>1432</v>
      </c>
      <c r="F1326" s="161"/>
      <c r="K1326" s="176"/>
    </row>
    <row r="1327" spans="2:11" x14ac:dyDescent="0.3">
      <c r="B1327" s="179">
        <v>90893</v>
      </c>
      <c r="C1327" s="175" t="s">
        <v>1433</v>
      </c>
      <c r="F1327" s="161"/>
      <c r="K1327" s="176"/>
    </row>
    <row r="1328" spans="2:11" x14ac:dyDescent="0.3">
      <c r="B1328" s="179">
        <v>100676</v>
      </c>
      <c r="C1328" s="175" t="s">
        <v>1434</v>
      </c>
      <c r="F1328" s="161"/>
      <c r="K1328" s="176"/>
    </row>
    <row r="1329" spans="2:11" x14ac:dyDescent="0.3">
      <c r="B1329" s="179">
        <v>101223</v>
      </c>
      <c r="C1329" s="175" t="s">
        <v>1435</v>
      </c>
      <c r="F1329" s="161"/>
      <c r="K1329" s="176"/>
    </row>
    <row r="1330" spans="2:11" x14ac:dyDescent="0.3">
      <c r="B1330" s="179">
        <v>2720</v>
      </c>
      <c r="C1330" s="175" t="s">
        <v>1436</v>
      </c>
      <c r="F1330" s="161"/>
      <c r="K1330" s="176"/>
    </row>
    <row r="1331" spans="2:11" x14ac:dyDescent="0.3">
      <c r="B1331" s="179">
        <v>3527</v>
      </c>
      <c r="C1331" s="175" t="s">
        <v>1437</v>
      </c>
      <c r="F1331" s="161"/>
      <c r="K1331" s="176"/>
    </row>
    <row r="1332" spans="2:11" x14ac:dyDescent="0.3">
      <c r="B1332" s="179">
        <v>4192</v>
      </c>
      <c r="C1332" s="175" t="s">
        <v>1438</v>
      </c>
      <c r="F1332" s="161"/>
      <c r="K1332" s="176"/>
    </row>
    <row r="1333" spans="2:11" x14ac:dyDescent="0.3">
      <c r="B1333" s="179">
        <v>4780</v>
      </c>
      <c r="C1333" s="175" t="s">
        <v>1439</v>
      </c>
      <c r="F1333" s="161"/>
      <c r="K1333" s="176"/>
    </row>
    <row r="1334" spans="2:11" x14ac:dyDescent="0.3">
      <c r="B1334" s="179">
        <v>33895</v>
      </c>
      <c r="C1334" s="175" t="s">
        <v>1440</v>
      </c>
      <c r="F1334" s="161"/>
      <c r="K1334" s="176"/>
    </row>
    <row r="1335" spans="2:11" x14ac:dyDescent="0.3">
      <c r="B1335" s="179">
        <v>37807</v>
      </c>
      <c r="C1335" s="175" t="s">
        <v>1441</v>
      </c>
      <c r="F1335" s="161"/>
      <c r="K1335" s="176"/>
    </row>
    <row r="1336" spans="2:11" x14ac:dyDescent="0.3">
      <c r="B1336" s="179">
        <v>90365</v>
      </c>
      <c r="C1336" s="175" t="s">
        <v>1442</v>
      </c>
      <c r="F1336" s="161"/>
      <c r="K1336" s="176"/>
    </row>
    <row r="1337" spans="2:11" x14ac:dyDescent="0.3">
      <c r="B1337" s="179">
        <v>90433</v>
      </c>
      <c r="C1337" s="175" t="s">
        <v>1443</v>
      </c>
      <c r="F1337" s="161"/>
      <c r="K1337" s="176"/>
    </row>
    <row r="1338" spans="2:11" x14ac:dyDescent="0.3">
      <c r="B1338" s="179">
        <v>90657</v>
      </c>
      <c r="C1338" s="175" t="s">
        <v>1444</v>
      </c>
      <c r="F1338" s="161"/>
      <c r="K1338" s="176"/>
    </row>
    <row r="1339" spans="2:11" x14ac:dyDescent="0.3">
      <c r="B1339" s="179">
        <v>101191</v>
      </c>
      <c r="C1339" s="175" t="s">
        <v>1445</v>
      </c>
      <c r="F1339" s="161"/>
      <c r="K1339" s="176"/>
    </row>
    <row r="1340" spans="2:11" x14ac:dyDescent="0.3">
      <c r="B1340" s="179">
        <v>101192</v>
      </c>
      <c r="C1340" s="175" t="s">
        <v>1446</v>
      </c>
      <c r="F1340" s="161"/>
      <c r="K1340" s="176"/>
    </row>
    <row r="1341" spans="2:11" x14ac:dyDescent="0.3">
      <c r="B1341" s="179">
        <v>85358</v>
      </c>
      <c r="C1341" s="175" t="s">
        <v>1447</v>
      </c>
      <c r="F1341" s="161"/>
      <c r="K1341" s="176"/>
    </row>
    <row r="1342" spans="2:11" x14ac:dyDescent="0.3">
      <c r="B1342" s="179">
        <v>88973</v>
      </c>
      <c r="C1342" s="175" t="s">
        <v>1448</v>
      </c>
      <c r="F1342" s="161"/>
      <c r="K1342" s="176"/>
    </row>
    <row r="1343" spans="2:11" x14ac:dyDescent="0.3">
      <c r="B1343" s="179">
        <v>89010</v>
      </c>
      <c r="C1343" s="175" t="s">
        <v>1449</v>
      </c>
      <c r="F1343" s="161"/>
      <c r="K1343" s="176"/>
    </row>
    <row r="1344" spans="2:11" x14ac:dyDescent="0.3">
      <c r="B1344" s="179">
        <v>89290</v>
      </c>
      <c r="C1344" s="175" t="s">
        <v>1450</v>
      </c>
      <c r="F1344" s="161"/>
      <c r="K1344" s="176"/>
    </row>
    <row r="1345" spans="2:11" x14ac:dyDescent="0.3">
      <c r="B1345" s="179">
        <v>89291</v>
      </c>
      <c r="C1345" s="175" t="s">
        <v>1451</v>
      </c>
      <c r="F1345" s="161"/>
      <c r="K1345" s="176"/>
    </row>
    <row r="1346" spans="2:11" x14ac:dyDescent="0.3">
      <c r="B1346" s="179">
        <v>89477</v>
      </c>
      <c r="C1346" s="175" t="s">
        <v>1452</v>
      </c>
      <c r="F1346" s="161"/>
      <c r="K1346" s="176"/>
    </row>
    <row r="1347" spans="2:11" x14ac:dyDescent="0.3">
      <c r="B1347" s="179">
        <v>90466</v>
      </c>
      <c r="C1347" s="175" t="s">
        <v>1453</v>
      </c>
      <c r="F1347" s="161"/>
      <c r="K1347" s="176"/>
    </row>
    <row r="1348" spans="2:11" x14ac:dyDescent="0.3">
      <c r="B1348" s="179">
        <v>90959</v>
      </c>
      <c r="C1348" s="175" t="s">
        <v>1454</v>
      </c>
      <c r="F1348" s="161"/>
      <c r="K1348" s="176"/>
    </row>
    <row r="1349" spans="2:11" x14ac:dyDescent="0.3">
      <c r="B1349" s="179">
        <v>101508</v>
      </c>
      <c r="C1349" s="175" t="s">
        <v>1455</v>
      </c>
      <c r="F1349" s="161"/>
      <c r="K1349" s="176"/>
    </row>
    <row r="1350" spans="2:11" x14ac:dyDescent="0.3">
      <c r="B1350" s="179">
        <v>3554</v>
      </c>
      <c r="C1350" s="175" t="s">
        <v>1456</v>
      </c>
      <c r="F1350" s="161"/>
      <c r="K1350" s="176"/>
    </row>
    <row r="1351" spans="2:11" x14ac:dyDescent="0.3">
      <c r="B1351" s="179">
        <v>4997</v>
      </c>
      <c r="C1351" s="175" t="s">
        <v>1457</v>
      </c>
      <c r="F1351" s="161"/>
      <c r="K1351" s="176"/>
    </row>
    <row r="1352" spans="2:11" x14ac:dyDescent="0.3">
      <c r="B1352" s="179">
        <v>26326</v>
      </c>
      <c r="C1352" s="175" t="s">
        <v>1458</v>
      </c>
      <c r="F1352" s="161"/>
      <c r="K1352" s="176"/>
    </row>
    <row r="1353" spans="2:11" x14ac:dyDescent="0.3">
      <c r="B1353" s="179">
        <v>53886</v>
      </c>
      <c r="C1353" s="175" t="s">
        <v>1459</v>
      </c>
      <c r="F1353" s="161"/>
      <c r="K1353" s="176"/>
    </row>
    <row r="1354" spans="2:11" x14ac:dyDescent="0.3">
      <c r="B1354" s="179">
        <v>90739</v>
      </c>
      <c r="C1354" s="175" t="s">
        <v>1460</v>
      </c>
      <c r="F1354" s="161"/>
      <c r="K1354" s="176"/>
    </row>
    <row r="1355" spans="2:11" x14ac:dyDescent="0.3">
      <c r="B1355" s="179">
        <v>90957</v>
      </c>
      <c r="C1355" s="175" t="s">
        <v>1461</v>
      </c>
      <c r="F1355" s="161"/>
      <c r="K1355" s="176"/>
    </row>
    <row r="1356" spans="2:11" x14ac:dyDescent="0.3">
      <c r="B1356" s="179">
        <v>100500</v>
      </c>
      <c r="C1356" s="175" t="s">
        <v>1462</v>
      </c>
      <c r="F1356" s="161"/>
      <c r="K1356" s="176"/>
    </row>
    <row r="1357" spans="2:11" x14ac:dyDescent="0.3">
      <c r="B1357" s="179">
        <v>86664</v>
      </c>
      <c r="C1357" s="175" t="s">
        <v>1463</v>
      </c>
      <c r="F1357" s="161"/>
      <c r="K1357" s="176"/>
    </row>
    <row r="1358" spans="2:11" x14ac:dyDescent="0.3">
      <c r="B1358" s="179">
        <v>88278</v>
      </c>
      <c r="C1358" s="175" t="s">
        <v>1464</v>
      </c>
      <c r="F1358" s="161"/>
      <c r="K1358" s="176"/>
    </row>
    <row r="1359" spans="2:11" x14ac:dyDescent="0.3">
      <c r="B1359" s="179">
        <v>88705</v>
      </c>
      <c r="C1359" s="175" t="s">
        <v>1465</v>
      </c>
      <c r="F1359" s="161"/>
      <c r="K1359" s="176"/>
    </row>
    <row r="1360" spans="2:11" x14ac:dyDescent="0.3">
      <c r="B1360" s="179">
        <v>90196</v>
      </c>
      <c r="C1360" s="175" t="s">
        <v>1466</v>
      </c>
      <c r="F1360" s="161"/>
      <c r="K1360" s="176"/>
    </row>
    <row r="1361" spans="2:11" x14ac:dyDescent="0.3">
      <c r="B1361" s="179">
        <v>90965</v>
      </c>
      <c r="C1361" s="175" t="s">
        <v>1467</v>
      </c>
      <c r="F1361" s="161"/>
      <c r="K1361" s="176"/>
    </row>
    <row r="1362" spans="2:11" x14ac:dyDescent="0.3">
      <c r="B1362" s="179">
        <v>3270</v>
      </c>
      <c r="C1362" s="175" t="s">
        <v>1468</v>
      </c>
      <c r="F1362" s="161"/>
      <c r="K1362" s="176"/>
    </row>
    <row r="1363" spans="2:11" x14ac:dyDescent="0.3">
      <c r="B1363" s="179">
        <v>13430</v>
      </c>
      <c r="C1363" s="175" t="s">
        <v>1469</v>
      </c>
      <c r="F1363" s="161"/>
      <c r="K1363" s="176"/>
    </row>
    <row r="1364" spans="2:11" x14ac:dyDescent="0.3">
      <c r="B1364" s="179">
        <v>17866</v>
      </c>
      <c r="C1364" s="175" t="s">
        <v>1470</v>
      </c>
      <c r="F1364" s="161"/>
      <c r="K1364" s="176"/>
    </row>
    <row r="1365" spans="2:11" x14ac:dyDescent="0.3">
      <c r="B1365" s="179">
        <v>20183</v>
      </c>
      <c r="C1365" s="175" t="s">
        <v>1471</v>
      </c>
      <c r="F1365" s="161"/>
      <c r="K1365" s="176"/>
    </row>
    <row r="1366" spans="2:11" x14ac:dyDescent="0.3">
      <c r="B1366" s="179">
        <v>90727</v>
      </c>
      <c r="C1366" s="175" t="s">
        <v>1472</v>
      </c>
      <c r="F1366" s="161"/>
      <c r="K1366" s="176"/>
    </row>
    <row r="1367" spans="2:11" x14ac:dyDescent="0.3">
      <c r="B1367" s="179">
        <v>100445</v>
      </c>
      <c r="C1367" s="175" t="s">
        <v>1473</v>
      </c>
      <c r="F1367" s="161"/>
      <c r="K1367" s="176"/>
    </row>
    <row r="1368" spans="2:11" x14ac:dyDescent="0.3">
      <c r="B1368" s="179">
        <v>101390</v>
      </c>
      <c r="C1368" s="175" t="s">
        <v>1474</v>
      </c>
      <c r="F1368" s="161"/>
      <c r="K1368" s="176"/>
    </row>
    <row r="1369" spans="2:11" x14ac:dyDescent="0.3">
      <c r="B1369" s="179">
        <v>82895</v>
      </c>
      <c r="C1369" s="175" t="s">
        <v>1475</v>
      </c>
      <c r="F1369" s="161"/>
      <c r="K1369" s="176"/>
    </row>
    <row r="1370" spans="2:11" x14ac:dyDescent="0.3">
      <c r="B1370" s="179">
        <v>89779</v>
      </c>
      <c r="C1370" s="175" t="s">
        <v>1476</v>
      </c>
      <c r="F1370" s="161"/>
      <c r="K1370" s="176"/>
    </row>
    <row r="1371" spans="2:11" x14ac:dyDescent="0.3">
      <c r="B1371" s="179">
        <v>90883</v>
      </c>
      <c r="C1371" s="175" t="s">
        <v>1477</v>
      </c>
      <c r="F1371" s="161"/>
      <c r="K1371" s="176"/>
    </row>
    <row r="1372" spans="2:11" x14ac:dyDescent="0.3">
      <c r="B1372" s="179">
        <v>91097</v>
      </c>
      <c r="C1372" s="175" t="s">
        <v>1478</v>
      </c>
      <c r="F1372" s="161"/>
      <c r="K1372" s="176"/>
    </row>
    <row r="1373" spans="2:11" x14ac:dyDescent="0.3">
      <c r="B1373" s="179">
        <v>100663</v>
      </c>
      <c r="C1373" s="175" t="s">
        <v>1479</v>
      </c>
      <c r="F1373" s="161"/>
      <c r="K1373" s="176"/>
    </row>
    <row r="1374" spans="2:11" x14ac:dyDescent="0.3">
      <c r="B1374" s="179">
        <v>100671</v>
      </c>
      <c r="C1374" s="175" t="s">
        <v>1480</v>
      </c>
      <c r="F1374" s="161"/>
      <c r="K1374" s="176"/>
    </row>
    <row r="1375" spans="2:11" x14ac:dyDescent="0.3">
      <c r="B1375" s="179">
        <v>12952</v>
      </c>
      <c r="C1375" s="175" t="s">
        <v>1481</v>
      </c>
      <c r="F1375" s="161"/>
      <c r="K1375" s="176"/>
    </row>
    <row r="1376" spans="2:11" x14ac:dyDescent="0.3">
      <c r="B1376" s="179">
        <v>100665</v>
      </c>
      <c r="C1376" s="175" t="s">
        <v>1482</v>
      </c>
      <c r="F1376" s="161"/>
      <c r="K1376" s="176"/>
    </row>
    <row r="1377" spans="2:11" x14ac:dyDescent="0.3">
      <c r="B1377" s="179">
        <v>100666</v>
      </c>
      <c r="C1377" s="175" t="s">
        <v>1483</v>
      </c>
      <c r="F1377" s="161"/>
      <c r="K1377" s="176"/>
    </row>
    <row r="1378" spans="2:11" x14ac:dyDescent="0.3">
      <c r="B1378" s="179">
        <v>101363</v>
      </c>
      <c r="C1378" s="175" t="s">
        <v>1484</v>
      </c>
      <c r="F1378" s="161"/>
      <c r="K1378" s="176"/>
    </row>
    <row r="1379" spans="2:11" x14ac:dyDescent="0.3">
      <c r="B1379" s="179">
        <v>100526</v>
      </c>
      <c r="C1379" s="175" t="s">
        <v>1485</v>
      </c>
      <c r="F1379" s="161"/>
      <c r="K1379" s="176"/>
    </row>
    <row r="1380" spans="2:11" x14ac:dyDescent="0.3">
      <c r="B1380" s="179">
        <v>100533</v>
      </c>
      <c r="C1380" s="175" t="s">
        <v>1486</v>
      </c>
      <c r="F1380" s="161"/>
      <c r="K1380" s="176"/>
    </row>
    <row r="1381" spans="2:11" x14ac:dyDescent="0.3">
      <c r="B1381" s="179">
        <v>101350</v>
      </c>
      <c r="C1381" s="175" t="s">
        <v>1487</v>
      </c>
      <c r="F1381" s="161"/>
      <c r="K1381" s="176"/>
    </row>
    <row r="1382" spans="2:11" x14ac:dyDescent="0.3">
      <c r="B1382" s="179">
        <v>101385</v>
      </c>
      <c r="C1382" s="175" t="s">
        <v>1488</v>
      </c>
      <c r="F1382" s="161"/>
      <c r="K1382" s="176"/>
    </row>
    <row r="1383" spans="2:11" x14ac:dyDescent="0.3">
      <c r="B1383" s="179">
        <v>31555</v>
      </c>
      <c r="C1383" s="175" t="s">
        <v>1489</v>
      </c>
      <c r="F1383" s="161"/>
      <c r="K1383" s="176"/>
    </row>
    <row r="1384" spans="2:11" x14ac:dyDescent="0.3">
      <c r="B1384" s="179">
        <v>100529</v>
      </c>
      <c r="C1384" s="175" t="s">
        <v>1490</v>
      </c>
      <c r="F1384" s="161"/>
      <c r="K1384" s="176"/>
    </row>
    <row r="1385" spans="2:11" x14ac:dyDescent="0.3">
      <c r="B1385" s="179">
        <v>101300</v>
      </c>
      <c r="C1385" s="175" t="s">
        <v>1491</v>
      </c>
      <c r="F1385" s="161"/>
      <c r="K1385" s="176"/>
    </row>
    <row r="1386" spans="2:11" x14ac:dyDescent="0.3">
      <c r="B1386" s="179">
        <v>88670</v>
      </c>
      <c r="C1386" s="175" t="s">
        <v>1492</v>
      </c>
      <c r="F1386" s="161"/>
      <c r="K1386" s="176"/>
    </row>
    <row r="1387" spans="2:11" x14ac:dyDescent="0.3">
      <c r="B1387" s="179">
        <v>89988</v>
      </c>
      <c r="C1387" s="175" t="s">
        <v>1493</v>
      </c>
      <c r="F1387" s="161"/>
      <c r="K1387" s="176"/>
    </row>
    <row r="1388" spans="2:11" x14ac:dyDescent="0.3">
      <c r="B1388" s="179">
        <v>100376</v>
      </c>
      <c r="C1388" s="175" t="s">
        <v>1494</v>
      </c>
      <c r="F1388" s="161"/>
      <c r="K1388" s="176"/>
    </row>
    <row r="1389" spans="2:11" x14ac:dyDescent="0.3">
      <c r="B1389" s="179">
        <v>100838</v>
      </c>
      <c r="C1389" s="175" t="s">
        <v>1495</v>
      </c>
      <c r="F1389" s="161"/>
      <c r="K1389" s="176"/>
    </row>
    <row r="1390" spans="2:11" x14ac:dyDescent="0.3">
      <c r="B1390" s="179">
        <v>49547</v>
      </c>
      <c r="C1390" s="175" t="s">
        <v>1496</v>
      </c>
      <c r="F1390" s="161"/>
      <c r="K1390" s="176"/>
    </row>
    <row r="1391" spans="2:11" x14ac:dyDescent="0.3">
      <c r="B1391" s="179">
        <v>90792</v>
      </c>
      <c r="C1391" s="175" t="s">
        <v>1497</v>
      </c>
      <c r="F1391" s="161"/>
      <c r="K1391" s="176"/>
    </row>
    <row r="1392" spans="2:11" x14ac:dyDescent="0.3">
      <c r="B1392" s="179">
        <v>100896</v>
      </c>
      <c r="C1392" s="175" t="s">
        <v>1498</v>
      </c>
      <c r="F1392" s="161"/>
      <c r="K1392" s="176"/>
    </row>
    <row r="1393" spans="2:11" x14ac:dyDescent="0.3">
      <c r="B1393" s="179">
        <v>86937</v>
      </c>
      <c r="C1393" s="175" t="s">
        <v>1499</v>
      </c>
      <c r="F1393" s="161"/>
      <c r="K1393" s="176"/>
    </row>
    <row r="1394" spans="2:11" x14ac:dyDescent="0.3">
      <c r="B1394" s="179">
        <v>87175</v>
      </c>
      <c r="C1394" s="175" t="s">
        <v>1500</v>
      </c>
      <c r="F1394" s="161"/>
      <c r="K1394" s="176"/>
    </row>
    <row r="1395" spans="2:11" x14ac:dyDescent="0.3">
      <c r="B1395" s="179">
        <v>87539</v>
      </c>
      <c r="C1395" s="175" t="s">
        <v>1501</v>
      </c>
      <c r="F1395" s="161"/>
      <c r="K1395" s="176"/>
    </row>
    <row r="1396" spans="2:11" x14ac:dyDescent="0.3">
      <c r="B1396" s="179">
        <v>87677</v>
      </c>
      <c r="C1396" s="175" t="s">
        <v>1502</v>
      </c>
      <c r="F1396" s="161"/>
      <c r="K1396" s="176"/>
    </row>
    <row r="1397" spans="2:11" x14ac:dyDescent="0.3">
      <c r="B1397" s="179">
        <v>88353</v>
      </c>
      <c r="C1397" s="175" t="s">
        <v>1503</v>
      </c>
      <c r="F1397" s="161"/>
      <c r="K1397" s="176"/>
    </row>
    <row r="1398" spans="2:11" x14ac:dyDescent="0.3">
      <c r="B1398" s="179">
        <v>89263</v>
      </c>
      <c r="C1398" s="175" t="s">
        <v>1504</v>
      </c>
      <c r="F1398" s="161"/>
      <c r="K1398" s="176"/>
    </row>
    <row r="1399" spans="2:11" x14ac:dyDescent="0.3">
      <c r="B1399" s="179">
        <v>90285</v>
      </c>
      <c r="C1399" s="175" t="s">
        <v>1505</v>
      </c>
      <c r="F1399" s="161"/>
      <c r="K1399" s="176"/>
    </row>
    <row r="1400" spans="2:11" x14ac:dyDescent="0.3">
      <c r="B1400" s="179">
        <v>100812</v>
      </c>
      <c r="C1400" s="175" t="s">
        <v>1506</v>
      </c>
      <c r="F1400" s="161"/>
      <c r="K1400" s="176"/>
    </row>
    <row r="1401" spans="2:11" x14ac:dyDescent="0.3">
      <c r="B1401" s="179">
        <v>101081</v>
      </c>
      <c r="C1401" s="175" t="s">
        <v>1507</v>
      </c>
      <c r="F1401" s="161"/>
      <c r="K1401" s="176"/>
    </row>
    <row r="1402" spans="2:11" x14ac:dyDescent="0.3">
      <c r="B1402" s="179">
        <v>1901</v>
      </c>
      <c r="C1402" s="175" t="s">
        <v>1508</v>
      </c>
      <c r="F1402" s="161"/>
      <c r="K1402" s="176"/>
    </row>
    <row r="1403" spans="2:11" x14ac:dyDescent="0.3">
      <c r="B1403" s="179">
        <v>3777</v>
      </c>
      <c r="C1403" s="175" t="s">
        <v>1509</v>
      </c>
      <c r="F1403" s="161"/>
      <c r="K1403" s="176"/>
    </row>
    <row r="1404" spans="2:11" x14ac:dyDescent="0.3">
      <c r="B1404" s="179">
        <v>4437</v>
      </c>
      <c r="C1404" s="175" t="s">
        <v>1510</v>
      </c>
      <c r="F1404" s="161"/>
      <c r="K1404" s="176"/>
    </row>
    <row r="1405" spans="2:11" x14ac:dyDescent="0.3">
      <c r="B1405" s="179">
        <v>5066</v>
      </c>
      <c r="C1405" s="175" t="s">
        <v>1511</v>
      </c>
      <c r="F1405" s="161"/>
      <c r="K1405" s="176"/>
    </row>
    <row r="1406" spans="2:11" x14ac:dyDescent="0.3">
      <c r="B1406" s="179">
        <v>5363</v>
      </c>
      <c r="C1406" s="175" t="s">
        <v>1512</v>
      </c>
      <c r="F1406" s="161"/>
      <c r="K1406" s="176"/>
    </row>
    <row r="1407" spans="2:11" x14ac:dyDescent="0.3">
      <c r="B1407" s="179">
        <v>8043</v>
      </c>
      <c r="C1407" s="175" t="s">
        <v>1513</v>
      </c>
      <c r="F1407" s="161"/>
      <c r="K1407" s="176"/>
    </row>
    <row r="1408" spans="2:11" x14ac:dyDescent="0.3">
      <c r="B1408" s="179">
        <v>8094</v>
      </c>
      <c r="C1408" s="175" t="s">
        <v>1514</v>
      </c>
      <c r="F1408" s="161"/>
      <c r="K1408" s="176"/>
    </row>
    <row r="1409" spans="2:11" x14ac:dyDescent="0.3">
      <c r="B1409" s="179">
        <v>91192</v>
      </c>
      <c r="C1409" s="175" t="s">
        <v>1515</v>
      </c>
      <c r="F1409" s="161"/>
      <c r="K1409" s="176"/>
    </row>
    <row r="1410" spans="2:11" x14ac:dyDescent="0.3">
      <c r="B1410" s="179">
        <v>100448</v>
      </c>
      <c r="C1410" s="175" t="s">
        <v>1516</v>
      </c>
      <c r="F1410" s="161"/>
      <c r="K1410" s="176"/>
    </row>
    <row r="1411" spans="2:11" x14ac:dyDescent="0.3">
      <c r="B1411" s="179">
        <v>100645</v>
      </c>
      <c r="C1411" s="175" t="s">
        <v>1517</v>
      </c>
      <c r="F1411" s="161"/>
      <c r="K1411" s="176"/>
    </row>
    <row r="1412" spans="2:11" x14ac:dyDescent="0.3">
      <c r="B1412" s="179">
        <v>100765</v>
      </c>
      <c r="C1412" s="175" t="s">
        <v>1518</v>
      </c>
      <c r="F1412" s="161"/>
      <c r="K1412" s="176"/>
    </row>
    <row r="1413" spans="2:11" x14ac:dyDescent="0.3">
      <c r="B1413" s="179">
        <v>100833</v>
      </c>
      <c r="C1413" s="175" t="s">
        <v>1519</v>
      </c>
      <c r="F1413" s="161"/>
      <c r="K1413" s="176"/>
    </row>
    <row r="1414" spans="2:11" x14ac:dyDescent="0.3">
      <c r="B1414" s="179">
        <v>86005</v>
      </c>
      <c r="C1414" s="175" t="s">
        <v>1520</v>
      </c>
      <c r="F1414" s="161"/>
      <c r="K1414" s="176"/>
    </row>
    <row r="1415" spans="2:11" x14ac:dyDescent="0.3">
      <c r="B1415" s="179">
        <v>88135</v>
      </c>
      <c r="C1415" s="175" t="s">
        <v>1521</v>
      </c>
      <c r="F1415" s="161"/>
      <c r="K1415" s="176"/>
    </row>
    <row r="1416" spans="2:11" x14ac:dyDescent="0.3">
      <c r="B1416" s="179">
        <v>91148</v>
      </c>
      <c r="C1416" s="175" t="s">
        <v>1522</v>
      </c>
      <c r="F1416" s="161"/>
      <c r="K1416" s="176"/>
    </row>
    <row r="1417" spans="2:11" x14ac:dyDescent="0.3">
      <c r="B1417" s="179">
        <v>100673</v>
      </c>
      <c r="C1417" s="175" t="s">
        <v>1523</v>
      </c>
      <c r="F1417" s="161"/>
      <c r="K1417" s="176"/>
    </row>
    <row r="1418" spans="2:11" x14ac:dyDescent="0.3">
      <c r="B1418" s="179">
        <v>100809</v>
      </c>
      <c r="C1418" s="175" t="s">
        <v>1524</v>
      </c>
      <c r="F1418" s="161"/>
      <c r="K1418" s="176"/>
    </row>
    <row r="1419" spans="2:11" x14ac:dyDescent="0.3">
      <c r="B1419" s="179">
        <v>101136</v>
      </c>
      <c r="C1419" s="175" t="s">
        <v>1525</v>
      </c>
      <c r="F1419" s="161"/>
      <c r="K1419" s="176"/>
    </row>
    <row r="1420" spans="2:11" x14ac:dyDescent="0.3">
      <c r="B1420" s="179">
        <v>1125</v>
      </c>
      <c r="C1420" s="175" t="s">
        <v>1526</v>
      </c>
      <c r="F1420" s="161"/>
      <c r="K1420" s="176"/>
    </row>
    <row r="1421" spans="2:11" x14ac:dyDescent="0.3">
      <c r="B1421" s="179">
        <v>4844</v>
      </c>
      <c r="C1421" s="175" t="s">
        <v>1527</v>
      </c>
      <c r="F1421" s="161"/>
      <c r="K1421" s="176"/>
    </row>
    <row r="1422" spans="2:11" x14ac:dyDescent="0.3">
      <c r="B1422" s="179">
        <v>84700</v>
      </c>
      <c r="C1422" s="175" t="s">
        <v>1528</v>
      </c>
      <c r="F1422" s="161"/>
      <c r="K1422" s="176"/>
    </row>
    <row r="1423" spans="2:11" x14ac:dyDescent="0.3">
      <c r="B1423" s="179">
        <v>90780</v>
      </c>
      <c r="C1423" s="175" t="s">
        <v>1529</v>
      </c>
      <c r="F1423" s="161"/>
      <c r="K1423" s="176"/>
    </row>
    <row r="1424" spans="2:11" x14ac:dyDescent="0.3">
      <c r="B1424" s="179">
        <v>91079</v>
      </c>
      <c r="C1424" s="175" t="s">
        <v>1530</v>
      </c>
      <c r="F1424" s="161"/>
      <c r="K1424" s="176"/>
    </row>
    <row r="1425" spans="2:11" x14ac:dyDescent="0.3">
      <c r="B1425" s="179">
        <v>85856</v>
      </c>
      <c r="C1425" s="175" t="s">
        <v>1531</v>
      </c>
      <c r="F1425" s="161"/>
      <c r="K1425" s="176"/>
    </row>
    <row r="1426" spans="2:11" x14ac:dyDescent="0.3">
      <c r="B1426" s="179">
        <v>86934</v>
      </c>
      <c r="C1426" s="175" t="s">
        <v>1532</v>
      </c>
      <c r="F1426" s="161"/>
      <c r="K1426" s="176"/>
    </row>
    <row r="1427" spans="2:11" x14ac:dyDescent="0.3">
      <c r="B1427" s="179">
        <v>87100</v>
      </c>
      <c r="C1427" s="175" t="s">
        <v>1533</v>
      </c>
      <c r="F1427" s="161"/>
      <c r="K1427" s="176"/>
    </row>
    <row r="1428" spans="2:11" x14ac:dyDescent="0.3">
      <c r="B1428" s="179">
        <v>87203</v>
      </c>
      <c r="C1428" s="175" t="s">
        <v>1534</v>
      </c>
      <c r="F1428" s="161"/>
      <c r="K1428" s="176"/>
    </row>
    <row r="1429" spans="2:11" x14ac:dyDescent="0.3">
      <c r="B1429" s="179">
        <v>87246</v>
      </c>
      <c r="C1429" s="175" t="s">
        <v>1535</v>
      </c>
      <c r="F1429" s="161"/>
      <c r="K1429" s="176"/>
    </row>
    <row r="1430" spans="2:11" x14ac:dyDescent="0.3">
      <c r="B1430" s="179">
        <v>87555</v>
      </c>
      <c r="C1430" s="175" t="s">
        <v>1536</v>
      </c>
      <c r="F1430" s="161"/>
      <c r="K1430" s="176"/>
    </row>
    <row r="1431" spans="2:11" x14ac:dyDescent="0.3">
      <c r="B1431" s="179">
        <v>88049</v>
      </c>
      <c r="C1431" s="175" t="s">
        <v>1537</v>
      </c>
      <c r="F1431" s="161"/>
      <c r="K1431" s="176"/>
    </row>
    <row r="1432" spans="2:11" x14ac:dyDescent="0.3">
      <c r="B1432" s="179">
        <v>89003</v>
      </c>
      <c r="C1432" s="175" t="s">
        <v>1538</v>
      </c>
      <c r="F1432" s="161"/>
      <c r="K1432" s="176"/>
    </row>
    <row r="1433" spans="2:11" x14ac:dyDescent="0.3">
      <c r="B1433" s="179">
        <v>89360</v>
      </c>
      <c r="C1433" s="175" t="s">
        <v>1539</v>
      </c>
      <c r="F1433" s="161"/>
      <c r="K1433" s="176"/>
    </row>
    <row r="1434" spans="2:11" x14ac:dyDescent="0.3">
      <c r="B1434" s="179">
        <v>90342</v>
      </c>
      <c r="C1434" s="175" t="s">
        <v>1540</v>
      </c>
      <c r="F1434" s="161"/>
      <c r="K1434" s="176"/>
    </row>
    <row r="1435" spans="2:11" x14ac:dyDescent="0.3">
      <c r="B1435" s="179">
        <v>91002</v>
      </c>
      <c r="C1435" s="175" t="s">
        <v>1541</v>
      </c>
      <c r="F1435" s="161"/>
      <c r="K1435" s="176"/>
    </row>
    <row r="1436" spans="2:11" x14ac:dyDescent="0.3">
      <c r="B1436" s="179">
        <v>91174</v>
      </c>
      <c r="C1436" s="175" t="s">
        <v>1542</v>
      </c>
      <c r="F1436" s="161"/>
      <c r="K1436" s="176"/>
    </row>
    <row r="1437" spans="2:11" x14ac:dyDescent="0.3">
      <c r="B1437" s="179">
        <v>101037</v>
      </c>
      <c r="C1437" s="175" t="s">
        <v>1543</v>
      </c>
      <c r="F1437" s="161"/>
      <c r="K1437" s="176"/>
    </row>
    <row r="1438" spans="2:11" x14ac:dyDescent="0.3">
      <c r="B1438" s="179">
        <v>101464</v>
      </c>
      <c r="C1438" s="175" t="s">
        <v>1544</v>
      </c>
      <c r="F1438" s="161"/>
      <c r="K1438" s="176"/>
    </row>
    <row r="1439" spans="2:11" x14ac:dyDescent="0.3">
      <c r="B1439" s="179">
        <v>101465</v>
      </c>
      <c r="C1439" s="175" t="s">
        <v>1545</v>
      </c>
      <c r="F1439" s="161"/>
      <c r="K1439" s="176"/>
    </row>
    <row r="1440" spans="2:11" x14ac:dyDescent="0.3">
      <c r="B1440" s="179">
        <v>101466</v>
      </c>
      <c r="C1440" s="175" t="s">
        <v>1546</v>
      </c>
      <c r="F1440" s="161"/>
      <c r="K1440" s="176"/>
    </row>
    <row r="1441" spans="2:11" x14ac:dyDescent="0.3">
      <c r="B1441" s="179">
        <v>101467</v>
      </c>
      <c r="C1441" s="175" t="s">
        <v>1547</v>
      </c>
      <c r="F1441" s="161"/>
      <c r="K1441" s="176"/>
    </row>
    <row r="1442" spans="2:11" x14ac:dyDescent="0.3">
      <c r="B1442" s="179">
        <v>101476</v>
      </c>
      <c r="C1442" s="175" t="s">
        <v>1548</v>
      </c>
      <c r="F1442" s="161"/>
      <c r="K1442" s="176"/>
    </row>
    <row r="1443" spans="2:11" x14ac:dyDescent="0.3">
      <c r="B1443" s="179">
        <v>101477</v>
      </c>
      <c r="C1443" s="175" t="s">
        <v>1549</v>
      </c>
      <c r="F1443" s="161"/>
      <c r="K1443" s="176"/>
    </row>
    <row r="1444" spans="2:11" x14ac:dyDescent="0.3">
      <c r="B1444" s="179">
        <v>101488</v>
      </c>
      <c r="C1444" s="175" t="s">
        <v>1550</v>
      </c>
      <c r="F1444" s="161"/>
      <c r="K1444" s="176"/>
    </row>
    <row r="1445" spans="2:11" x14ac:dyDescent="0.3">
      <c r="B1445" s="179">
        <v>101489</v>
      </c>
      <c r="C1445" s="175" t="s">
        <v>1551</v>
      </c>
      <c r="F1445" s="161"/>
      <c r="K1445" s="176"/>
    </row>
    <row r="1446" spans="2:11" x14ac:dyDescent="0.3">
      <c r="B1446" s="179">
        <v>101498</v>
      </c>
      <c r="C1446" s="175" t="s">
        <v>1552</v>
      </c>
      <c r="F1446" s="161"/>
      <c r="K1446" s="176"/>
    </row>
    <row r="1447" spans="2:11" x14ac:dyDescent="0.3">
      <c r="B1447" s="179">
        <v>101504</v>
      </c>
      <c r="C1447" s="175" t="s">
        <v>1553</v>
      </c>
      <c r="F1447" s="161"/>
      <c r="K1447" s="176"/>
    </row>
    <row r="1448" spans="2:11" x14ac:dyDescent="0.3">
      <c r="B1448" s="179">
        <v>101507</v>
      </c>
      <c r="C1448" s="175" t="s">
        <v>1554</v>
      </c>
      <c r="F1448" s="161"/>
      <c r="K1448" s="176"/>
    </row>
    <row r="1449" spans="2:11" x14ac:dyDescent="0.3">
      <c r="B1449" s="179">
        <v>101509</v>
      </c>
      <c r="C1449" s="175" t="s">
        <v>1555</v>
      </c>
      <c r="F1449" s="161"/>
      <c r="K1449" s="176"/>
    </row>
    <row r="1450" spans="2:11" x14ac:dyDescent="0.3">
      <c r="B1450" s="179">
        <v>101510</v>
      </c>
      <c r="C1450" s="175" t="s">
        <v>1556</v>
      </c>
      <c r="F1450" s="161"/>
      <c r="K1450" s="176"/>
    </row>
    <row r="1451" spans="2:11" x14ac:dyDescent="0.3">
      <c r="B1451" s="179">
        <v>101511</v>
      </c>
      <c r="C1451" s="175" t="s">
        <v>1557</v>
      </c>
      <c r="F1451" s="161"/>
      <c r="K1451" s="176"/>
    </row>
    <row r="1452" spans="2:11" x14ac:dyDescent="0.3">
      <c r="B1452" s="179">
        <v>101517</v>
      </c>
      <c r="C1452" s="175" t="s">
        <v>1558</v>
      </c>
      <c r="F1452" s="161"/>
      <c r="K1452" s="176"/>
    </row>
    <row r="1453" spans="2:11" x14ac:dyDescent="0.3">
      <c r="B1453" s="179">
        <v>1124</v>
      </c>
      <c r="C1453" s="175" t="s">
        <v>1559</v>
      </c>
      <c r="F1453" s="161"/>
      <c r="K1453" s="176"/>
    </row>
    <row r="1454" spans="2:11" x14ac:dyDescent="0.3">
      <c r="B1454" s="179">
        <v>1127</v>
      </c>
      <c r="C1454" s="175" t="s">
        <v>1560</v>
      </c>
      <c r="F1454" s="161"/>
      <c r="K1454" s="176"/>
    </row>
    <row r="1455" spans="2:11" x14ac:dyDescent="0.3">
      <c r="B1455" s="179">
        <v>1252</v>
      </c>
      <c r="C1455" s="175" t="s">
        <v>1561</v>
      </c>
      <c r="F1455" s="161"/>
      <c r="K1455" s="176"/>
    </row>
    <row r="1456" spans="2:11" x14ac:dyDescent="0.3">
      <c r="B1456" s="179">
        <v>1498</v>
      </c>
      <c r="C1456" s="175" t="s">
        <v>1562</v>
      </c>
      <c r="F1456" s="161"/>
      <c r="K1456" s="176"/>
    </row>
    <row r="1457" spans="2:11" x14ac:dyDescent="0.3">
      <c r="B1457" s="179">
        <v>1521</v>
      </c>
      <c r="C1457" s="175" t="s">
        <v>1563</v>
      </c>
      <c r="F1457" s="161"/>
      <c r="K1457" s="176"/>
    </row>
    <row r="1458" spans="2:11" x14ac:dyDescent="0.3">
      <c r="B1458" s="179">
        <v>1986</v>
      </c>
      <c r="C1458" s="175" t="s">
        <v>750</v>
      </c>
      <c r="F1458" s="161"/>
      <c r="K1458" s="176"/>
    </row>
    <row r="1459" spans="2:11" x14ac:dyDescent="0.3">
      <c r="B1459" s="179">
        <v>2045</v>
      </c>
      <c r="C1459" s="175" t="s">
        <v>1564</v>
      </c>
      <c r="F1459" s="161"/>
      <c r="K1459" s="176"/>
    </row>
    <row r="1460" spans="2:11" x14ac:dyDescent="0.3">
      <c r="B1460" s="179">
        <v>3370</v>
      </c>
      <c r="C1460" s="175" t="s">
        <v>1565</v>
      </c>
      <c r="F1460" s="161"/>
      <c r="K1460" s="176"/>
    </row>
    <row r="1461" spans="2:11" x14ac:dyDescent="0.3">
      <c r="B1461" s="179">
        <v>4777</v>
      </c>
      <c r="C1461" s="175" t="s">
        <v>1566</v>
      </c>
      <c r="F1461" s="161"/>
      <c r="K1461" s="176"/>
    </row>
    <row r="1462" spans="2:11" x14ac:dyDescent="0.3">
      <c r="B1462" s="179">
        <v>5364</v>
      </c>
      <c r="C1462" s="175" t="s">
        <v>1567</v>
      </c>
      <c r="F1462" s="161"/>
      <c r="K1462" s="176"/>
    </row>
    <row r="1463" spans="2:11" x14ac:dyDescent="0.3">
      <c r="B1463" s="179">
        <v>5458</v>
      </c>
      <c r="C1463" s="175" t="s">
        <v>1568</v>
      </c>
      <c r="F1463" s="161"/>
      <c r="K1463" s="176"/>
    </row>
    <row r="1464" spans="2:11" x14ac:dyDescent="0.3">
      <c r="B1464" s="179">
        <v>90353</v>
      </c>
      <c r="C1464" s="175" t="s">
        <v>1569</v>
      </c>
      <c r="F1464" s="161"/>
      <c r="K1464" s="176"/>
    </row>
    <row r="1465" spans="2:11" x14ac:dyDescent="0.3">
      <c r="B1465" s="179">
        <v>90577</v>
      </c>
      <c r="C1465" s="175" t="s">
        <v>1570</v>
      </c>
      <c r="F1465" s="161"/>
      <c r="K1465" s="176"/>
    </row>
    <row r="1466" spans="2:11" x14ac:dyDescent="0.3">
      <c r="B1466" s="179">
        <v>90968</v>
      </c>
      <c r="C1466" s="175" t="s">
        <v>1571</v>
      </c>
      <c r="F1466" s="161"/>
      <c r="K1466" s="176"/>
    </row>
    <row r="1467" spans="2:11" x14ac:dyDescent="0.3">
      <c r="B1467" s="179">
        <v>101502</v>
      </c>
      <c r="C1467" s="175" t="s">
        <v>1572</v>
      </c>
      <c r="F1467" s="161"/>
      <c r="K1467" s="176"/>
    </row>
    <row r="1468" spans="2:11" x14ac:dyDescent="0.3">
      <c r="B1468" s="179">
        <v>88132</v>
      </c>
      <c r="C1468" s="175" t="s">
        <v>1573</v>
      </c>
      <c r="F1468" s="161"/>
      <c r="K1468" s="176"/>
    </row>
    <row r="1469" spans="2:11" x14ac:dyDescent="0.3">
      <c r="B1469" s="179">
        <v>88726</v>
      </c>
      <c r="C1469" s="175" t="s">
        <v>1574</v>
      </c>
      <c r="F1469" s="161"/>
      <c r="K1469" s="176"/>
    </row>
    <row r="1470" spans="2:11" x14ac:dyDescent="0.3">
      <c r="B1470" s="179">
        <v>89045</v>
      </c>
      <c r="C1470" s="175" t="s">
        <v>1575</v>
      </c>
      <c r="F1470" s="161"/>
      <c r="K1470" s="176"/>
    </row>
    <row r="1471" spans="2:11" x14ac:dyDescent="0.3">
      <c r="B1471" s="179">
        <v>89483</v>
      </c>
      <c r="C1471" s="175" t="s">
        <v>1576</v>
      </c>
      <c r="F1471" s="161"/>
      <c r="K1471" s="176"/>
    </row>
    <row r="1472" spans="2:11" x14ac:dyDescent="0.3">
      <c r="B1472" s="179">
        <v>89811</v>
      </c>
      <c r="C1472" s="175" t="s">
        <v>1577</v>
      </c>
      <c r="F1472" s="161"/>
      <c r="K1472" s="176"/>
    </row>
    <row r="1473" spans="2:11" x14ac:dyDescent="0.3">
      <c r="B1473" s="179">
        <v>89841</v>
      </c>
      <c r="C1473" s="175" t="s">
        <v>1578</v>
      </c>
      <c r="F1473" s="161"/>
      <c r="K1473" s="176"/>
    </row>
    <row r="1474" spans="2:11" x14ac:dyDescent="0.3">
      <c r="B1474" s="179">
        <v>90079</v>
      </c>
      <c r="C1474" s="175" t="s">
        <v>1579</v>
      </c>
      <c r="F1474" s="161"/>
      <c r="K1474" s="176"/>
    </row>
    <row r="1475" spans="2:11" x14ac:dyDescent="0.3">
      <c r="B1475" s="179">
        <v>90730</v>
      </c>
      <c r="C1475" s="175" t="s">
        <v>1580</v>
      </c>
      <c r="F1475" s="161"/>
      <c r="K1475" s="176"/>
    </row>
    <row r="1476" spans="2:11" x14ac:dyDescent="0.3">
      <c r="B1476" s="179">
        <v>100959</v>
      </c>
      <c r="C1476" s="175" t="s">
        <v>1581</v>
      </c>
      <c r="F1476" s="161"/>
      <c r="K1476" s="176"/>
    </row>
    <row r="1477" spans="2:11" x14ac:dyDescent="0.3">
      <c r="B1477" s="179">
        <v>101147</v>
      </c>
      <c r="C1477" s="175" t="s">
        <v>1582</v>
      </c>
      <c r="F1477" s="161"/>
      <c r="K1477" s="176"/>
    </row>
    <row r="1478" spans="2:11" x14ac:dyDescent="0.3">
      <c r="B1478" s="179">
        <v>101412</v>
      </c>
      <c r="C1478" s="175" t="s">
        <v>1583</v>
      </c>
      <c r="F1478" s="161"/>
      <c r="K1478" s="176"/>
    </row>
    <row r="1479" spans="2:11" x14ac:dyDescent="0.3">
      <c r="B1479" s="179">
        <v>101566</v>
      </c>
      <c r="C1479" s="175" t="s">
        <v>1584</v>
      </c>
      <c r="F1479" s="161"/>
      <c r="K1479" s="176"/>
    </row>
    <row r="1480" spans="2:11" x14ac:dyDescent="0.3">
      <c r="B1480" s="179">
        <v>101567</v>
      </c>
      <c r="C1480" s="175" t="s">
        <v>1585</v>
      </c>
      <c r="F1480" s="161"/>
      <c r="K1480" s="176"/>
    </row>
    <row r="1481" spans="2:11" x14ac:dyDescent="0.3">
      <c r="B1481" s="179">
        <v>2415</v>
      </c>
      <c r="C1481" s="175" t="s">
        <v>1586</v>
      </c>
      <c r="F1481" s="161"/>
      <c r="K1481" s="176"/>
    </row>
    <row r="1482" spans="2:11" x14ac:dyDescent="0.3">
      <c r="B1482" s="179">
        <v>2941</v>
      </c>
      <c r="C1482" s="175" t="s">
        <v>1587</v>
      </c>
      <c r="F1482" s="161"/>
      <c r="K1482" s="176"/>
    </row>
    <row r="1483" spans="2:11" x14ac:dyDescent="0.3">
      <c r="B1483" s="179">
        <v>24950</v>
      </c>
      <c r="C1483" s="175" t="s">
        <v>1588</v>
      </c>
      <c r="F1483" s="161"/>
      <c r="K1483" s="176"/>
    </row>
    <row r="1484" spans="2:11" x14ac:dyDescent="0.3">
      <c r="B1484" s="179">
        <v>27886</v>
      </c>
      <c r="C1484" s="175" t="s">
        <v>1589</v>
      </c>
      <c r="F1484" s="161"/>
      <c r="K1484" s="176"/>
    </row>
    <row r="1485" spans="2:11" x14ac:dyDescent="0.3">
      <c r="B1485" s="179">
        <v>87170</v>
      </c>
      <c r="C1485" s="175" t="s">
        <v>1590</v>
      </c>
      <c r="F1485" s="161"/>
      <c r="K1485" s="176"/>
    </row>
    <row r="1486" spans="2:11" x14ac:dyDescent="0.3">
      <c r="B1486" s="179">
        <v>87737</v>
      </c>
      <c r="C1486" s="175" t="s">
        <v>1591</v>
      </c>
      <c r="F1486" s="161"/>
      <c r="K1486" s="176"/>
    </row>
    <row r="1487" spans="2:11" x14ac:dyDescent="0.3">
      <c r="B1487" s="179">
        <v>87750</v>
      </c>
      <c r="C1487" s="175" t="s">
        <v>1592</v>
      </c>
      <c r="F1487" s="161"/>
      <c r="K1487" s="176"/>
    </row>
    <row r="1488" spans="2:11" x14ac:dyDescent="0.3">
      <c r="B1488" s="179">
        <v>87752</v>
      </c>
      <c r="C1488" s="175" t="s">
        <v>1593</v>
      </c>
      <c r="F1488" s="161"/>
      <c r="K1488" s="176"/>
    </row>
    <row r="1489" spans="2:11" x14ac:dyDescent="0.3">
      <c r="B1489" s="179">
        <v>90225</v>
      </c>
      <c r="C1489" s="175" t="s">
        <v>1594</v>
      </c>
      <c r="F1489" s="161"/>
      <c r="K1489" s="176"/>
    </row>
    <row r="1490" spans="2:11" x14ac:dyDescent="0.3">
      <c r="B1490" s="179">
        <v>90228</v>
      </c>
      <c r="C1490" s="175" t="s">
        <v>1595</v>
      </c>
      <c r="F1490" s="161"/>
      <c r="K1490" s="176"/>
    </row>
    <row r="1491" spans="2:11" x14ac:dyDescent="0.3">
      <c r="B1491" s="179">
        <v>100478</v>
      </c>
      <c r="C1491" s="175" t="s">
        <v>1596</v>
      </c>
      <c r="F1491" s="161"/>
      <c r="K1491" s="176"/>
    </row>
    <row r="1492" spans="2:11" x14ac:dyDescent="0.3">
      <c r="B1492" s="179">
        <v>100601</v>
      </c>
      <c r="C1492" s="175" t="s">
        <v>1597</v>
      </c>
      <c r="F1492" s="161"/>
      <c r="K1492" s="176"/>
    </row>
    <row r="1493" spans="2:11" x14ac:dyDescent="0.3">
      <c r="B1493" s="179">
        <v>100602</v>
      </c>
      <c r="C1493" s="175" t="s">
        <v>1598</v>
      </c>
      <c r="F1493" s="161"/>
      <c r="K1493" s="176"/>
    </row>
    <row r="1494" spans="2:11" x14ac:dyDescent="0.3">
      <c r="B1494" s="179">
        <v>100760</v>
      </c>
      <c r="C1494" s="175" t="s">
        <v>1599</v>
      </c>
      <c r="F1494" s="161"/>
      <c r="K1494" s="176"/>
    </row>
    <row r="1495" spans="2:11" x14ac:dyDescent="0.3">
      <c r="B1495" s="179">
        <v>100763</v>
      </c>
      <c r="C1495" s="175" t="s">
        <v>1600</v>
      </c>
      <c r="F1495" s="161"/>
      <c r="K1495" s="176"/>
    </row>
    <row r="1496" spans="2:11" x14ac:dyDescent="0.3">
      <c r="B1496" s="179">
        <v>101026</v>
      </c>
      <c r="C1496" s="175" t="s">
        <v>1601</v>
      </c>
      <c r="F1496" s="161"/>
      <c r="K1496" s="176"/>
    </row>
    <row r="1497" spans="2:11" x14ac:dyDescent="0.3">
      <c r="B1497" s="179">
        <v>101336</v>
      </c>
      <c r="C1497" s="175" t="s">
        <v>1602</v>
      </c>
      <c r="F1497" s="161"/>
      <c r="K1497" s="176"/>
    </row>
    <row r="1498" spans="2:11" x14ac:dyDescent="0.3">
      <c r="B1498" s="179">
        <v>101386</v>
      </c>
      <c r="C1498" s="175" t="s">
        <v>1603</v>
      </c>
      <c r="F1498" s="161"/>
      <c r="K1498" s="176"/>
    </row>
    <row r="1499" spans="2:11" x14ac:dyDescent="0.3">
      <c r="B1499" s="179">
        <v>2631</v>
      </c>
      <c r="C1499" s="175" t="s">
        <v>1604</v>
      </c>
      <c r="F1499" s="161"/>
      <c r="K1499" s="176"/>
    </row>
    <row r="1500" spans="2:11" x14ac:dyDescent="0.3">
      <c r="B1500" s="179">
        <v>2874</v>
      </c>
      <c r="C1500" s="175" t="s">
        <v>1605</v>
      </c>
      <c r="F1500" s="161"/>
      <c r="K1500" s="176"/>
    </row>
    <row r="1501" spans="2:11" x14ac:dyDescent="0.3">
      <c r="B1501" s="179">
        <v>3367</v>
      </c>
      <c r="C1501" s="175" t="s">
        <v>1606</v>
      </c>
      <c r="F1501" s="161"/>
      <c r="K1501" s="176"/>
    </row>
    <row r="1502" spans="2:11" x14ac:dyDescent="0.3">
      <c r="B1502" s="179">
        <v>6285</v>
      </c>
      <c r="C1502" s="175" t="s">
        <v>1607</v>
      </c>
      <c r="F1502" s="161"/>
      <c r="K1502" s="176"/>
    </row>
    <row r="1503" spans="2:11" x14ac:dyDescent="0.3">
      <c r="B1503" s="179">
        <v>33322</v>
      </c>
      <c r="C1503" s="175" t="s">
        <v>1608</v>
      </c>
      <c r="F1503" s="161"/>
      <c r="K1503" s="176"/>
    </row>
    <row r="1504" spans="2:11" x14ac:dyDescent="0.3">
      <c r="B1504" s="179">
        <v>37818</v>
      </c>
      <c r="C1504" s="175" t="s">
        <v>1609</v>
      </c>
      <c r="F1504" s="161"/>
      <c r="K1504" s="176"/>
    </row>
    <row r="1505" spans="2:11" x14ac:dyDescent="0.3">
      <c r="B1505" s="179">
        <v>90941</v>
      </c>
      <c r="C1505" s="175" t="s">
        <v>1610</v>
      </c>
      <c r="F1505" s="161"/>
      <c r="K1505" s="176"/>
    </row>
    <row r="1506" spans="2:11" x14ac:dyDescent="0.3">
      <c r="B1506" s="179">
        <v>100456</v>
      </c>
      <c r="C1506" s="175" t="s">
        <v>1611</v>
      </c>
      <c r="F1506" s="161"/>
      <c r="K1506" s="176"/>
    </row>
    <row r="1507" spans="2:11" x14ac:dyDescent="0.3">
      <c r="B1507" s="179">
        <v>100474</v>
      </c>
      <c r="C1507" s="175" t="s">
        <v>1612</v>
      </c>
      <c r="F1507" s="161"/>
      <c r="K1507" s="176"/>
    </row>
    <row r="1508" spans="2:11" x14ac:dyDescent="0.3">
      <c r="B1508" s="179">
        <v>100761</v>
      </c>
      <c r="C1508" s="175" t="s">
        <v>1613</v>
      </c>
      <c r="F1508" s="161"/>
      <c r="K1508" s="176"/>
    </row>
    <row r="1509" spans="2:11" x14ac:dyDescent="0.3">
      <c r="B1509" s="179">
        <v>100764</v>
      </c>
      <c r="C1509" s="175" t="s">
        <v>1614</v>
      </c>
      <c r="F1509" s="161"/>
      <c r="K1509" s="176"/>
    </row>
    <row r="1510" spans="2:11" x14ac:dyDescent="0.3">
      <c r="B1510" s="179">
        <v>101335</v>
      </c>
      <c r="C1510" s="175" t="s">
        <v>1615</v>
      </c>
      <c r="F1510" s="161"/>
      <c r="K1510" s="176"/>
    </row>
    <row r="1511" spans="2:11" x14ac:dyDescent="0.3">
      <c r="B1511" s="179">
        <v>86376</v>
      </c>
      <c r="C1511" s="175" t="s">
        <v>1616</v>
      </c>
      <c r="F1511" s="161"/>
      <c r="K1511" s="176"/>
    </row>
    <row r="1512" spans="2:11" x14ac:dyDescent="0.3">
      <c r="B1512" s="179">
        <v>87334</v>
      </c>
      <c r="C1512" s="175" t="s">
        <v>1617</v>
      </c>
      <c r="F1512" s="161"/>
      <c r="K1512" s="176"/>
    </row>
    <row r="1513" spans="2:11" x14ac:dyDescent="0.3">
      <c r="B1513" s="179">
        <v>87335</v>
      </c>
      <c r="C1513" s="175" t="s">
        <v>1618</v>
      </c>
      <c r="F1513" s="161"/>
      <c r="K1513" s="176"/>
    </row>
    <row r="1514" spans="2:11" x14ac:dyDescent="0.3">
      <c r="B1514" s="179">
        <v>89579</v>
      </c>
      <c r="C1514" s="175" t="s">
        <v>1619</v>
      </c>
      <c r="F1514" s="161"/>
      <c r="K1514" s="176"/>
    </row>
    <row r="1515" spans="2:11" x14ac:dyDescent="0.3">
      <c r="B1515" s="179">
        <v>2515</v>
      </c>
      <c r="C1515" s="175" t="s">
        <v>1620</v>
      </c>
      <c r="F1515" s="161"/>
      <c r="K1515" s="176"/>
    </row>
    <row r="1516" spans="2:11" x14ac:dyDescent="0.3">
      <c r="B1516" s="179">
        <v>2680</v>
      </c>
      <c r="C1516" s="175" t="s">
        <v>1621</v>
      </c>
      <c r="F1516" s="161"/>
      <c r="K1516" s="176"/>
    </row>
    <row r="1517" spans="2:11" x14ac:dyDescent="0.3">
      <c r="B1517" s="179">
        <v>3384</v>
      </c>
      <c r="C1517" s="175" t="s">
        <v>416</v>
      </c>
      <c r="F1517" s="161"/>
      <c r="K1517" s="176"/>
    </row>
    <row r="1518" spans="2:11" x14ac:dyDescent="0.3">
      <c r="B1518" s="179">
        <v>5950</v>
      </c>
      <c r="C1518" s="175" t="s">
        <v>1622</v>
      </c>
      <c r="F1518" s="161"/>
      <c r="K1518" s="176"/>
    </row>
    <row r="1519" spans="2:11" x14ac:dyDescent="0.3">
      <c r="B1519" s="179">
        <v>11870</v>
      </c>
      <c r="C1519" s="175" t="s">
        <v>1623</v>
      </c>
      <c r="F1519" s="161"/>
      <c r="K1519" s="176"/>
    </row>
    <row r="1520" spans="2:11" x14ac:dyDescent="0.3">
      <c r="B1520" s="179">
        <v>51448</v>
      </c>
      <c r="C1520" s="175" t="s">
        <v>1624</v>
      </c>
      <c r="F1520" s="161"/>
      <c r="K1520" s="176"/>
    </row>
    <row r="1521" spans="2:11" x14ac:dyDescent="0.3">
      <c r="B1521" s="179">
        <v>91258</v>
      </c>
      <c r="C1521" s="175" t="s">
        <v>1625</v>
      </c>
      <c r="F1521" s="161"/>
      <c r="K1521" s="176"/>
    </row>
    <row r="1522" spans="2:11" x14ac:dyDescent="0.3">
      <c r="B1522" s="179">
        <v>100694</v>
      </c>
      <c r="C1522" s="175" t="s">
        <v>1626</v>
      </c>
      <c r="F1522" s="161"/>
      <c r="K1522" s="176"/>
    </row>
    <row r="1523" spans="2:11" x14ac:dyDescent="0.3">
      <c r="B1523" s="179">
        <v>100888</v>
      </c>
      <c r="C1523" s="175" t="s">
        <v>1627</v>
      </c>
      <c r="F1523" s="161"/>
      <c r="K1523" s="176"/>
    </row>
    <row r="1524" spans="2:11" x14ac:dyDescent="0.3">
      <c r="B1524" s="179">
        <v>88105</v>
      </c>
      <c r="C1524" s="175" t="s">
        <v>1628</v>
      </c>
      <c r="F1524" s="161"/>
      <c r="K1524" s="176"/>
    </row>
    <row r="1525" spans="2:11" x14ac:dyDescent="0.3">
      <c r="B1525" s="179">
        <v>88722</v>
      </c>
      <c r="C1525" s="175" t="s">
        <v>1629</v>
      </c>
      <c r="F1525" s="161"/>
      <c r="K1525" s="176"/>
    </row>
    <row r="1526" spans="2:11" x14ac:dyDescent="0.3">
      <c r="B1526" s="179">
        <v>88974</v>
      </c>
      <c r="C1526" s="175" t="s">
        <v>1630</v>
      </c>
      <c r="F1526" s="161"/>
      <c r="K1526" s="176"/>
    </row>
    <row r="1527" spans="2:11" x14ac:dyDescent="0.3">
      <c r="B1527" s="179">
        <v>89004</v>
      </c>
      <c r="C1527" s="175" t="s">
        <v>1631</v>
      </c>
      <c r="F1527" s="161"/>
      <c r="K1527" s="176"/>
    </row>
    <row r="1528" spans="2:11" x14ac:dyDescent="0.3">
      <c r="B1528" s="179">
        <v>6313</v>
      </c>
      <c r="C1528" s="175" t="s">
        <v>1632</v>
      </c>
      <c r="F1528" s="161"/>
      <c r="K1528" s="176"/>
    </row>
    <row r="1529" spans="2:11" x14ac:dyDescent="0.3">
      <c r="B1529" s="179">
        <v>8085</v>
      </c>
      <c r="C1529" s="175" t="s">
        <v>1633</v>
      </c>
      <c r="F1529" s="161"/>
      <c r="K1529" s="176"/>
    </row>
    <row r="1530" spans="2:11" x14ac:dyDescent="0.3">
      <c r="B1530" s="179">
        <v>16840</v>
      </c>
      <c r="C1530" s="175" t="s">
        <v>1634</v>
      </c>
      <c r="F1530" s="161"/>
      <c r="K1530" s="176"/>
    </row>
    <row r="1531" spans="2:11" x14ac:dyDescent="0.3">
      <c r="B1531" s="179">
        <v>24542</v>
      </c>
      <c r="C1531" s="175" t="s">
        <v>1635</v>
      </c>
      <c r="F1531" s="161"/>
      <c r="K1531" s="176"/>
    </row>
    <row r="1532" spans="2:11" x14ac:dyDescent="0.3">
      <c r="B1532" s="179">
        <v>101113</v>
      </c>
      <c r="C1532" s="175" t="s">
        <v>1636</v>
      </c>
      <c r="F1532" s="161"/>
      <c r="K1532" s="176"/>
    </row>
    <row r="1533" spans="2:11" x14ac:dyDescent="0.3">
      <c r="B1533" s="179">
        <v>101579</v>
      </c>
      <c r="C1533" s="175" t="s">
        <v>1637</v>
      </c>
      <c r="F1533" s="161"/>
      <c r="K1533" s="176"/>
    </row>
    <row r="1534" spans="2:11" x14ac:dyDescent="0.3">
      <c r="B1534" s="179">
        <v>87254</v>
      </c>
      <c r="C1534" s="175" t="s">
        <v>1638</v>
      </c>
      <c r="F1534" s="161"/>
      <c r="K1534" s="176"/>
    </row>
    <row r="1535" spans="2:11" x14ac:dyDescent="0.3">
      <c r="B1535" s="179">
        <v>89272</v>
      </c>
      <c r="C1535" s="175" t="s">
        <v>1639</v>
      </c>
      <c r="F1535" s="161"/>
      <c r="K1535" s="176"/>
    </row>
    <row r="1536" spans="2:11" x14ac:dyDescent="0.3">
      <c r="B1536" s="179">
        <v>90951</v>
      </c>
      <c r="C1536" s="175" t="s">
        <v>1640</v>
      </c>
      <c r="F1536" s="161"/>
      <c r="K1536" s="176"/>
    </row>
    <row r="1537" spans="2:11" x14ac:dyDescent="0.3">
      <c r="B1537" s="179">
        <v>91173</v>
      </c>
      <c r="C1537" s="175" t="s">
        <v>1641</v>
      </c>
      <c r="F1537" s="161"/>
      <c r="K1537" s="176"/>
    </row>
    <row r="1538" spans="2:11" x14ac:dyDescent="0.3">
      <c r="B1538" s="179">
        <v>100643</v>
      </c>
      <c r="C1538" s="175" t="s">
        <v>1642</v>
      </c>
      <c r="F1538" s="161"/>
      <c r="K1538" s="176"/>
    </row>
    <row r="1539" spans="2:11" x14ac:dyDescent="0.3">
      <c r="B1539" s="179">
        <v>101227</v>
      </c>
      <c r="C1539" s="175" t="s">
        <v>1643</v>
      </c>
      <c r="F1539" s="161"/>
      <c r="K1539" s="176"/>
    </row>
    <row r="1540" spans="2:11" x14ac:dyDescent="0.3">
      <c r="B1540" s="179">
        <v>101552</v>
      </c>
      <c r="C1540" s="175" t="s">
        <v>1644</v>
      </c>
      <c r="F1540" s="161"/>
      <c r="K1540" s="176"/>
    </row>
    <row r="1541" spans="2:11" x14ac:dyDescent="0.3">
      <c r="B1541" s="179">
        <v>2417</v>
      </c>
      <c r="C1541" s="175" t="s">
        <v>1645</v>
      </c>
      <c r="F1541" s="161"/>
      <c r="K1541" s="176"/>
    </row>
    <row r="1542" spans="2:11" x14ac:dyDescent="0.3">
      <c r="B1542" s="179">
        <v>3001</v>
      </c>
      <c r="C1542" s="175" t="s">
        <v>1646</v>
      </c>
      <c r="F1542" s="161"/>
      <c r="K1542" s="176"/>
    </row>
    <row r="1543" spans="2:11" x14ac:dyDescent="0.3">
      <c r="B1543" s="179">
        <v>3377</v>
      </c>
      <c r="C1543" s="175" t="s">
        <v>1647</v>
      </c>
      <c r="F1543" s="161"/>
      <c r="K1543" s="176"/>
    </row>
    <row r="1544" spans="2:11" x14ac:dyDescent="0.3">
      <c r="B1544" s="179">
        <v>4921</v>
      </c>
      <c r="C1544" s="175" t="s">
        <v>1648</v>
      </c>
      <c r="F1544" s="161"/>
      <c r="K1544" s="176"/>
    </row>
    <row r="1545" spans="2:11" x14ac:dyDescent="0.3">
      <c r="B1545" s="179">
        <v>5417</v>
      </c>
      <c r="C1545" s="175" t="s">
        <v>1649</v>
      </c>
      <c r="F1545" s="161"/>
      <c r="K1545" s="176"/>
    </row>
    <row r="1546" spans="2:11" x14ac:dyDescent="0.3">
      <c r="B1546" s="179">
        <v>6172</v>
      </c>
      <c r="C1546" s="175" t="s">
        <v>1650</v>
      </c>
      <c r="F1546" s="161"/>
      <c r="K1546" s="176"/>
    </row>
    <row r="1547" spans="2:11" x14ac:dyDescent="0.3">
      <c r="B1547" s="179">
        <v>6421</v>
      </c>
      <c r="C1547" s="175" t="s">
        <v>1651</v>
      </c>
      <c r="F1547" s="161"/>
      <c r="K1547" s="176"/>
    </row>
    <row r="1548" spans="2:11" x14ac:dyDescent="0.3">
      <c r="B1548" s="179">
        <v>31408</v>
      </c>
      <c r="C1548" s="175" t="s">
        <v>1652</v>
      </c>
      <c r="F1548" s="161"/>
      <c r="K1548" s="176"/>
    </row>
    <row r="1549" spans="2:11" x14ac:dyDescent="0.3">
      <c r="B1549" s="179">
        <v>89593</v>
      </c>
      <c r="C1549" s="175" t="s">
        <v>1653</v>
      </c>
      <c r="F1549" s="161"/>
      <c r="K1549" s="176"/>
    </row>
    <row r="1550" spans="2:11" x14ac:dyDescent="0.3">
      <c r="B1550" s="179">
        <v>91205</v>
      </c>
      <c r="C1550" s="175" t="s">
        <v>1654</v>
      </c>
      <c r="F1550" s="161"/>
      <c r="K1550" s="176"/>
    </row>
    <row r="1551" spans="2:11" x14ac:dyDescent="0.3">
      <c r="B1551" s="179">
        <v>2286</v>
      </c>
      <c r="C1551" s="175" t="s">
        <v>1655</v>
      </c>
      <c r="F1551" s="161"/>
      <c r="K1551" s="176"/>
    </row>
    <row r="1552" spans="2:11" x14ac:dyDescent="0.3">
      <c r="B1552" s="179">
        <v>2998</v>
      </c>
      <c r="C1552" s="175" t="s">
        <v>1656</v>
      </c>
      <c r="F1552" s="161"/>
      <c r="K1552" s="176"/>
    </row>
    <row r="1553" spans="2:11" x14ac:dyDescent="0.3">
      <c r="B1553" s="179">
        <v>3376</v>
      </c>
      <c r="C1553" s="175" t="s">
        <v>1657</v>
      </c>
      <c r="F1553" s="161"/>
      <c r="K1553" s="176"/>
    </row>
    <row r="1554" spans="2:11" x14ac:dyDescent="0.3">
      <c r="B1554" s="179">
        <v>3379</v>
      </c>
      <c r="C1554" s="175" t="s">
        <v>1658</v>
      </c>
      <c r="F1554" s="161"/>
      <c r="K1554" s="176"/>
    </row>
    <row r="1555" spans="2:11" x14ac:dyDescent="0.3">
      <c r="B1555" s="179">
        <v>3380</v>
      </c>
      <c r="C1555" s="175" t="s">
        <v>1659</v>
      </c>
      <c r="F1555" s="161"/>
      <c r="K1555" s="176"/>
    </row>
    <row r="1556" spans="2:11" x14ac:dyDescent="0.3">
      <c r="B1556" s="179">
        <v>4986</v>
      </c>
      <c r="C1556" s="175" t="s">
        <v>1660</v>
      </c>
      <c r="F1556" s="161"/>
      <c r="K1556" s="176"/>
    </row>
    <row r="1557" spans="2:11" x14ac:dyDescent="0.3">
      <c r="B1557" s="179">
        <v>6069</v>
      </c>
      <c r="C1557" s="175" t="s">
        <v>1661</v>
      </c>
      <c r="F1557" s="161"/>
      <c r="K1557" s="176"/>
    </row>
    <row r="1558" spans="2:11" x14ac:dyDescent="0.3">
      <c r="B1558" s="179">
        <v>53496</v>
      </c>
      <c r="C1558" s="175" t="s">
        <v>1662</v>
      </c>
      <c r="F1558" s="161"/>
      <c r="K1558" s="176"/>
    </row>
    <row r="1559" spans="2:11" x14ac:dyDescent="0.3">
      <c r="B1559" s="179">
        <v>90541</v>
      </c>
      <c r="C1559" s="175" t="s">
        <v>1663</v>
      </c>
      <c r="F1559" s="161"/>
      <c r="K1559" s="176"/>
    </row>
    <row r="1560" spans="2:11" x14ac:dyDescent="0.3">
      <c r="B1560" s="179">
        <v>91215</v>
      </c>
      <c r="C1560" s="175" t="s">
        <v>1664</v>
      </c>
      <c r="F1560" s="161"/>
      <c r="K1560" s="176"/>
    </row>
    <row r="1561" spans="2:11" x14ac:dyDescent="0.3">
      <c r="B1561" s="179">
        <v>88304</v>
      </c>
      <c r="C1561" s="175" t="s">
        <v>1665</v>
      </c>
      <c r="F1561" s="161"/>
      <c r="K1561" s="176"/>
    </row>
    <row r="1562" spans="2:11" x14ac:dyDescent="0.3">
      <c r="B1562" s="179">
        <v>88306</v>
      </c>
      <c r="C1562" s="175" t="s">
        <v>1666</v>
      </c>
      <c r="F1562" s="161"/>
      <c r="K1562" s="176"/>
    </row>
    <row r="1563" spans="2:11" x14ac:dyDescent="0.3">
      <c r="B1563" s="179">
        <v>88639</v>
      </c>
      <c r="C1563" s="175" t="s">
        <v>1667</v>
      </c>
      <c r="F1563" s="161"/>
      <c r="K1563" s="176"/>
    </row>
    <row r="1564" spans="2:11" x14ac:dyDescent="0.3">
      <c r="B1564" s="179">
        <v>88753</v>
      </c>
      <c r="C1564" s="175" t="s">
        <v>1668</v>
      </c>
      <c r="F1564" s="161"/>
      <c r="K1564" s="176"/>
    </row>
    <row r="1565" spans="2:11" x14ac:dyDescent="0.3">
      <c r="B1565" s="179">
        <v>89192</v>
      </c>
      <c r="C1565" s="175" t="s">
        <v>1669</v>
      </c>
      <c r="F1565" s="161"/>
      <c r="K1565" s="176"/>
    </row>
    <row r="1566" spans="2:11" x14ac:dyDescent="0.3">
      <c r="B1566" s="179">
        <v>100514</v>
      </c>
      <c r="C1566" s="175" t="s">
        <v>1670</v>
      </c>
      <c r="F1566" s="161"/>
      <c r="K1566" s="176"/>
    </row>
    <row r="1567" spans="2:11" x14ac:dyDescent="0.3">
      <c r="B1567" s="179">
        <v>101391</v>
      </c>
      <c r="C1567" s="175" t="s">
        <v>1671</v>
      </c>
      <c r="F1567" s="161"/>
      <c r="K1567" s="176"/>
    </row>
    <row r="1568" spans="2:11" x14ac:dyDescent="0.3">
      <c r="B1568" s="179">
        <v>3383</v>
      </c>
      <c r="C1568" s="175" t="s">
        <v>1672</v>
      </c>
      <c r="F1568" s="161"/>
      <c r="K1568" s="176"/>
    </row>
    <row r="1569" spans="2:11" x14ac:dyDescent="0.3">
      <c r="B1569" s="179">
        <v>6154</v>
      </c>
      <c r="C1569" s="175" t="s">
        <v>1673</v>
      </c>
      <c r="F1569" s="161"/>
      <c r="K1569" s="176"/>
    </row>
    <row r="1570" spans="2:11" x14ac:dyDescent="0.3">
      <c r="B1570" s="179">
        <v>76322</v>
      </c>
      <c r="C1570" s="175" t="s">
        <v>1674</v>
      </c>
      <c r="F1570" s="161"/>
      <c r="K1570" s="176"/>
    </row>
    <row r="1571" spans="2:11" x14ac:dyDescent="0.3">
      <c r="B1571" s="179">
        <v>86045</v>
      </c>
      <c r="C1571" s="175" t="s">
        <v>1675</v>
      </c>
      <c r="F1571" s="161"/>
      <c r="K1571" s="176"/>
    </row>
    <row r="1572" spans="2:11" x14ac:dyDescent="0.3">
      <c r="B1572" s="179">
        <v>86053</v>
      </c>
      <c r="C1572" s="175" t="s">
        <v>1676</v>
      </c>
      <c r="F1572" s="161"/>
      <c r="K1572" s="176"/>
    </row>
    <row r="1573" spans="2:11" x14ac:dyDescent="0.3">
      <c r="B1573" s="179">
        <v>87033</v>
      </c>
      <c r="C1573" s="175" t="s">
        <v>1677</v>
      </c>
      <c r="F1573" s="161"/>
      <c r="K1573" s="176"/>
    </row>
    <row r="1574" spans="2:11" x14ac:dyDescent="0.3">
      <c r="B1574" s="179">
        <v>87723</v>
      </c>
      <c r="C1574" s="175" t="s">
        <v>1678</v>
      </c>
      <c r="F1574" s="161"/>
      <c r="K1574" s="176"/>
    </row>
    <row r="1575" spans="2:11" x14ac:dyDescent="0.3">
      <c r="B1575" s="179">
        <v>88097</v>
      </c>
      <c r="C1575" s="175" t="s">
        <v>1679</v>
      </c>
      <c r="F1575" s="161"/>
      <c r="K1575" s="176"/>
    </row>
    <row r="1576" spans="2:11" x14ac:dyDescent="0.3">
      <c r="B1576" s="179">
        <v>88734</v>
      </c>
      <c r="C1576" s="175" t="s">
        <v>1680</v>
      </c>
      <c r="F1576" s="161"/>
      <c r="K1576" s="176"/>
    </row>
    <row r="1577" spans="2:11" x14ac:dyDescent="0.3">
      <c r="B1577" s="179">
        <v>88940</v>
      </c>
      <c r="C1577" s="175" t="s">
        <v>1681</v>
      </c>
      <c r="F1577" s="161"/>
      <c r="K1577" s="176"/>
    </row>
    <row r="1578" spans="2:11" x14ac:dyDescent="0.3">
      <c r="B1578" s="179">
        <v>89099</v>
      </c>
      <c r="C1578" s="175" t="s">
        <v>1682</v>
      </c>
      <c r="F1578" s="161"/>
      <c r="K1578" s="176"/>
    </row>
    <row r="1579" spans="2:11" x14ac:dyDescent="0.3">
      <c r="B1579" s="179">
        <v>89156</v>
      </c>
      <c r="C1579" s="175" t="s">
        <v>1683</v>
      </c>
      <c r="F1579" s="161"/>
      <c r="K1579" s="176"/>
    </row>
    <row r="1580" spans="2:11" x14ac:dyDescent="0.3">
      <c r="B1580" s="179">
        <v>89448</v>
      </c>
      <c r="C1580" s="175" t="s">
        <v>1684</v>
      </c>
      <c r="F1580" s="161"/>
      <c r="K1580" s="176"/>
    </row>
    <row r="1581" spans="2:11" x14ac:dyDescent="0.3">
      <c r="B1581" s="179">
        <v>89546</v>
      </c>
      <c r="C1581" s="175" t="s">
        <v>1685</v>
      </c>
      <c r="F1581" s="161"/>
      <c r="K1581" s="176"/>
    </row>
    <row r="1582" spans="2:11" x14ac:dyDescent="0.3">
      <c r="B1582" s="179">
        <v>89804</v>
      </c>
      <c r="C1582" s="175" t="s">
        <v>1686</v>
      </c>
      <c r="F1582" s="161"/>
      <c r="K1582" s="176"/>
    </row>
    <row r="1583" spans="2:11" x14ac:dyDescent="0.3">
      <c r="B1583" s="179">
        <v>89984</v>
      </c>
      <c r="C1583" s="175" t="s">
        <v>1687</v>
      </c>
      <c r="F1583" s="161"/>
      <c r="K1583" s="176"/>
    </row>
    <row r="1584" spans="2:11" x14ac:dyDescent="0.3">
      <c r="B1584" s="179">
        <v>90084</v>
      </c>
      <c r="C1584" s="175" t="s">
        <v>1688</v>
      </c>
      <c r="F1584" s="161"/>
      <c r="K1584" s="176"/>
    </row>
    <row r="1585" spans="2:11" x14ac:dyDescent="0.3">
      <c r="B1585" s="179">
        <v>90174</v>
      </c>
      <c r="C1585" s="175" t="s">
        <v>1689</v>
      </c>
      <c r="F1585" s="161"/>
      <c r="K1585" s="176"/>
    </row>
    <row r="1586" spans="2:11" x14ac:dyDescent="0.3">
      <c r="B1586" s="179">
        <v>100479</v>
      </c>
      <c r="C1586" s="175" t="s">
        <v>1690</v>
      </c>
      <c r="F1586" s="161"/>
      <c r="K1586" s="176"/>
    </row>
    <row r="1587" spans="2:11" x14ac:dyDescent="0.3">
      <c r="B1587" s="179">
        <v>100824</v>
      </c>
      <c r="C1587" s="175" t="s">
        <v>1691</v>
      </c>
      <c r="F1587" s="161"/>
      <c r="K1587" s="176"/>
    </row>
    <row r="1588" spans="2:11" x14ac:dyDescent="0.3">
      <c r="B1588" s="179">
        <v>100900</v>
      </c>
      <c r="C1588" s="175" t="s">
        <v>1692</v>
      </c>
      <c r="F1588" s="161"/>
      <c r="K1588" s="176"/>
    </row>
    <row r="1589" spans="2:11" x14ac:dyDescent="0.3">
      <c r="B1589" s="179">
        <v>101203</v>
      </c>
      <c r="C1589" s="175" t="s">
        <v>1693</v>
      </c>
      <c r="F1589" s="161"/>
      <c r="K1589" s="176"/>
    </row>
    <row r="1590" spans="2:11" x14ac:dyDescent="0.3">
      <c r="B1590" s="179">
        <v>101241</v>
      </c>
      <c r="C1590" s="175" t="s">
        <v>1694</v>
      </c>
      <c r="F1590" s="161"/>
      <c r="K1590" s="176"/>
    </row>
    <row r="1591" spans="2:11" x14ac:dyDescent="0.3">
      <c r="B1591" s="179">
        <v>101278</v>
      </c>
      <c r="C1591" s="175" t="s">
        <v>1695</v>
      </c>
      <c r="F1591" s="161"/>
      <c r="K1591" s="176"/>
    </row>
    <row r="1592" spans="2:11" x14ac:dyDescent="0.3">
      <c r="B1592" s="179">
        <v>101290</v>
      </c>
      <c r="C1592" s="175" t="s">
        <v>1696</v>
      </c>
      <c r="F1592" s="161"/>
      <c r="K1592" s="176"/>
    </row>
    <row r="1593" spans="2:11" x14ac:dyDescent="0.3">
      <c r="B1593" s="179">
        <v>101587</v>
      </c>
      <c r="C1593" s="175" t="s">
        <v>1697</v>
      </c>
      <c r="F1593" s="161"/>
      <c r="K1593" s="176"/>
    </row>
    <row r="1594" spans="2:11" x14ac:dyDescent="0.3">
      <c r="B1594" s="179">
        <v>2387</v>
      </c>
      <c r="C1594" s="175" t="s">
        <v>1698</v>
      </c>
      <c r="F1594" s="161"/>
      <c r="K1594" s="176"/>
    </row>
    <row r="1595" spans="2:11" x14ac:dyDescent="0.3">
      <c r="B1595" s="179">
        <v>2397</v>
      </c>
      <c r="C1595" s="175" t="s">
        <v>1699</v>
      </c>
      <c r="F1595" s="161"/>
      <c r="K1595" s="176"/>
    </row>
    <row r="1596" spans="2:11" x14ac:dyDescent="0.3">
      <c r="B1596" s="179">
        <v>2419</v>
      </c>
      <c r="C1596" s="175" t="s">
        <v>1700</v>
      </c>
      <c r="F1596" s="161"/>
      <c r="K1596" s="176"/>
    </row>
    <row r="1597" spans="2:11" x14ac:dyDescent="0.3">
      <c r="B1597" s="179">
        <v>2421</v>
      </c>
      <c r="C1597" s="175" t="s">
        <v>1701</v>
      </c>
      <c r="F1597" s="161"/>
      <c r="K1597" s="176"/>
    </row>
    <row r="1598" spans="2:11" x14ac:dyDescent="0.3">
      <c r="B1598" s="179">
        <v>2424</v>
      </c>
      <c r="C1598" s="175" t="s">
        <v>1702</v>
      </c>
      <c r="F1598" s="161"/>
      <c r="K1598" s="176"/>
    </row>
    <row r="1599" spans="2:11" x14ac:dyDescent="0.3">
      <c r="B1599" s="179">
        <v>2430</v>
      </c>
      <c r="C1599" s="175" t="s">
        <v>1703</v>
      </c>
      <c r="F1599" s="161"/>
      <c r="K1599" s="176"/>
    </row>
    <row r="1600" spans="2:11" x14ac:dyDescent="0.3">
      <c r="B1600" s="179">
        <v>2431</v>
      </c>
      <c r="C1600" s="175" t="s">
        <v>1704</v>
      </c>
      <c r="F1600" s="161"/>
      <c r="K1600" s="176"/>
    </row>
    <row r="1601" spans="2:11" x14ac:dyDescent="0.3">
      <c r="B1601" s="179">
        <v>2513</v>
      </c>
      <c r="C1601" s="175" t="s">
        <v>1705</v>
      </c>
      <c r="F1601" s="161"/>
      <c r="K1601" s="176"/>
    </row>
    <row r="1602" spans="2:11" x14ac:dyDescent="0.3">
      <c r="B1602" s="179">
        <v>2514</v>
      </c>
      <c r="C1602" s="175" t="s">
        <v>1706</v>
      </c>
      <c r="F1602" s="161"/>
      <c r="K1602" s="176"/>
    </row>
    <row r="1603" spans="2:11" x14ac:dyDescent="0.3">
      <c r="B1603" s="179">
        <v>2518</v>
      </c>
      <c r="C1603" s="175" t="s">
        <v>1707</v>
      </c>
      <c r="F1603" s="161"/>
      <c r="K1603" s="176"/>
    </row>
    <row r="1604" spans="2:11" x14ac:dyDescent="0.3">
      <c r="B1604" s="179">
        <v>3371</v>
      </c>
      <c r="C1604" s="175" t="s">
        <v>1708</v>
      </c>
      <c r="F1604" s="161"/>
      <c r="K1604" s="176"/>
    </row>
    <row r="1605" spans="2:11" x14ac:dyDescent="0.3">
      <c r="B1605" s="179">
        <v>3374</v>
      </c>
      <c r="C1605" s="175" t="s">
        <v>1709</v>
      </c>
      <c r="F1605" s="161"/>
      <c r="K1605" s="176"/>
    </row>
    <row r="1606" spans="2:11" x14ac:dyDescent="0.3">
      <c r="B1606" s="179">
        <v>4920</v>
      </c>
      <c r="C1606" s="175" t="s">
        <v>1710</v>
      </c>
      <c r="F1606" s="161"/>
      <c r="K1606" s="176"/>
    </row>
    <row r="1607" spans="2:11" x14ac:dyDescent="0.3">
      <c r="B1607" s="179">
        <v>5887</v>
      </c>
      <c r="C1607" s="175" t="s">
        <v>1269</v>
      </c>
      <c r="F1607" s="161"/>
      <c r="K1607" s="176"/>
    </row>
    <row r="1608" spans="2:11" x14ac:dyDescent="0.3">
      <c r="B1608" s="179">
        <v>6102</v>
      </c>
      <c r="C1608" s="175" t="s">
        <v>1711</v>
      </c>
      <c r="F1608" s="161"/>
      <c r="K1608" s="176"/>
    </row>
    <row r="1609" spans="2:11" x14ac:dyDescent="0.3">
      <c r="B1609" s="179">
        <v>6262</v>
      </c>
      <c r="C1609" s="175" t="s">
        <v>1712</v>
      </c>
      <c r="F1609" s="161"/>
      <c r="K1609" s="176"/>
    </row>
    <row r="1610" spans="2:11" x14ac:dyDescent="0.3">
      <c r="B1610" s="179">
        <v>23217</v>
      </c>
      <c r="C1610" s="175" t="s">
        <v>1713</v>
      </c>
      <c r="F1610" s="161"/>
      <c r="K1610" s="176"/>
    </row>
    <row r="1611" spans="2:11" x14ac:dyDescent="0.3">
      <c r="B1611" s="179">
        <v>100424</v>
      </c>
      <c r="C1611" s="175" t="s">
        <v>1714</v>
      </c>
      <c r="F1611" s="161"/>
      <c r="K1611" s="176"/>
    </row>
    <row r="1612" spans="2:11" x14ac:dyDescent="0.3">
      <c r="B1612" s="179">
        <v>100473</v>
      </c>
      <c r="C1612" s="175" t="s">
        <v>1715</v>
      </c>
      <c r="F1612" s="161"/>
      <c r="K1612" s="176"/>
    </row>
    <row r="1613" spans="2:11" x14ac:dyDescent="0.3">
      <c r="B1613" s="179">
        <v>100495</v>
      </c>
      <c r="C1613" s="175" t="s">
        <v>1716</v>
      </c>
      <c r="F1613" s="161"/>
      <c r="K1613" s="176"/>
    </row>
    <row r="1614" spans="2:11" x14ac:dyDescent="0.3">
      <c r="B1614" s="179">
        <v>100623</v>
      </c>
      <c r="C1614" s="175" t="s">
        <v>1717</v>
      </c>
      <c r="F1614" s="161"/>
      <c r="K1614" s="176"/>
    </row>
    <row r="1615" spans="2:11" x14ac:dyDescent="0.3">
      <c r="B1615" s="179">
        <v>100806</v>
      </c>
      <c r="C1615" s="175" t="s">
        <v>1718</v>
      </c>
      <c r="F1615" s="161"/>
      <c r="K1615" s="176"/>
    </row>
    <row r="1616" spans="2:11" x14ac:dyDescent="0.3">
      <c r="B1616" s="179">
        <v>100875</v>
      </c>
      <c r="C1616" s="175" t="s">
        <v>1719</v>
      </c>
      <c r="F1616" s="161"/>
      <c r="K1616" s="176"/>
    </row>
    <row r="1617" spans="2:11" x14ac:dyDescent="0.3">
      <c r="B1617" s="179">
        <v>101116</v>
      </c>
      <c r="C1617" s="175" t="s">
        <v>1720</v>
      </c>
      <c r="F1617" s="161"/>
      <c r="K1617" s="176"/>
    </row>
    <row r="1618" spans="2:11" x14ac:dyDescent="0.3">
      <c r="B1618" s="179">
        <v>5277</v>
      </c>
      <c r="C1618" s="175" t="s">
        <v>1721</v>
      </c>
      <c r="F1618" s="161"/>
      <c r="K1618" s="176"/>
    </row>
    <row r="1619" spans="2:11" x14ac:dyDescent="0.3">
      <c r="B1619" s="179">
        <v>2031</v>
      </c>
      <c r="C1619" s="175" t="s">
        <v>561</v>
      </c>
      <c r="F1619" s="161"/>
      <c r="K1619" s="176"/>
    </row>
    <row r="1620" spans="2:11" x14ac:dyDescent="0.3">
      <c r="B1620" s="179">
        <v>2935</v>
      </c>
      <c r="C1620" s="175" t="s">
        <v>1722</v>
      </c>
      <c r="F1620" s="161"/>
      <c r="K1620" s="176"/>
    </row>
    <row r="1621" spans="2:11" x14ac:dyDescent="0.3">
      <c r="B1621" s="179">
        <v>3002</v>
      </c>
      <c r="C1621" s="175" t="s">
        <v>561</v>
      </c>
      <c r="F1621" s="161"/>
      <c r="K1621" s="176"/>
    </row>
    <row r="1622" spans="2:11" x14ac:dyDescent="0.3">
      <c r="B1622" s="179">
        <v>3211</v>
      </c>
      <c r="C1622" s="175" t="s">
        <v>1723</v>
      </c>
      <c r="F1622" s="161"/>
      <c r="K1622" s="176"/>
    </row>
    <row r="1623" spans="2:11" x14ac:dyDescent="0.3">
      <c r="B1623" s="179">
        <v>31062</v>
      </c>
      <c r="C1623" s="175" t="s">
        <v>1724</v>
      </c>
      <c r="F1623" s="161"/>
      <c r="K1623" s="176"/>
    </row>
    <row r="1624" spans="2:11" x14ac:dyDescent="0.3">
      <c r="B1624" s="179">
        <v>86927</v>
      </c>
      <c r="C1624" s="175" t="s">
        <v>1725</v>
      </c>
      <c r="F1624" s="161"/>
      <c r="K1624" s="176"/>
    </row>
    <row r="1625" spans="2:11" x14ac:dyDescent="0.3">
      <c r="B1625" s="179">
        <v>87172</v>
      </c>
      <c r="C1625" s="175" t="s">
        <v>1726</v>
      </c>
      <c r="F1625" s="161"/>
      <c r="K1625" s="176"/>
    </row>
    <row r="1626" spans="2:11" x14ac:dyDescent="0.3">
      <c r="B1626" s="179">
        <v>87233</v>
      </c>
      <c r="C1626" s="175" t="s">
        <v>1727</v>
      </c>
      <c r="F1626" s="161"/>
      <c r="K1626" s="176"/>
    </row>
    <row r="1627" spans="2:11" x14ac:dyDescent="0.3">
      <c r="B1627" s="179">
        <v>87369</v>
      </c>
      <c r="C1627" s="175" t="s">
        <v>1728</v>
      </c>
      <c r="F1627" s="161"/>
      <c r="K1627" s="176"/>
    </row>
    <row r="1628" spans="2:11" x14ac:dyDescent="0.3">
      <c r="B1628" s="179">
        <v>88361</v>
      </c>
      <c r="C1628" s="175" t="s">
        <v>1729</v>
      </c>
      <c r="F1628" s="161"/>
      <c r="K1628" s="176"/>
    </row>
    <row r="1629" spans="2:11" x14ac:dyDescent="0.3">
      <c r="B1629" s="179">
        <v>88362</v>
      </c>
      <c r="C1629" s="175" t="s">
        <v>1730</v>
      </c>
      <c r="F1629" s="161"/>
      <c r="K1629" s="176"/>
    </row>
    <row r="1630" spans="2:11" x14ac:dyDescent="0.3">
      <c r="B1630" s="179">
        <v>88999</v>
      </c>
      <c r="C1630" s="175" t="s">
        <v>1731</v>
      </c>
      <c r="F1630" s="161"/>
      <c r="K1630" s="176"/>
    </row>
    <row r="1631" spans="2:11" x14ac:dyDescent="0.3">
      <c r="B1631" s="179">
        <v>89001</v>
      </c>
      <c r="C1631" s="175" t="s">
        <v>1732</v>
      </c>
      <c r="F1631" s="161"/>
      <c r="K1631" s="176"/>
    </row>
    <row r="1632" spans="2:11" x14ac:dyDescent="0.3">
      <c r="B1632" s="179">
        <v>89006</v>
      </c>
      <c r="C1632" s="175" t="s">
        <v>1733</v>
      </c>
      <c r="F1632" s="161"/>
      <c r="K1632" s="176"/>
    </row>
    <row r="1633" spans="2:11" x14ac:dyDescent="0.3">
      <c r="B1633" s="179">
        <v>89505</v>
      </c>
      <c r="C1633" s="175" t="s">
        <v>1734</v>
      </c>
      <c r="F1633" s="161"/>
      <c r="K1633" s="176"/>
    </row>
    <row r="1634" spans="2:11" x14ac:dyDescent="0.3">
      <c r="B1634" s="179">
        <v>89548</v>
      </c>
      <c r="C1634" s="175" t="s">
        <v>1735</v>
      </c>
      <c r="F1634" s="161"/>
      <c r="K1634" s="176"/>
    </row>
    <row r="1635" spans="2:11" x14ac:dyDescent="0.3">
      <c r="B1635" s="179">
        <v>90077</v>
      </c>
      <c r="C1635" s="175" t="s">
        <v>1736</v>
      </c>
      <c r="F1635" s="161"/>
      <c r="K1635" s="176"/>
    </row>
    <row r="1636" spans="2:11" x14ac:dyDescent="0.3">
      <c r="B1636" s="179">
        <v>2509</v>
      </c>
      <c r="C1636" s="175" t="s">
        <v>1737</v>
      </c>
      <c r="F1636" s="161"/>
      <c r="K1636" s="176"/>
    </row>
    <row r="1637" spans="2:11" x14ac:dyDescent="0.3">
      <c r="B1637" s="179">
        <v>3165</v>
      </c>
      <c r="C1637" s="175" t="s">
        <v>1738</v>
      </c>
      <c r="F1637" s="161"/>
      <c r="K1637" s="176"/>
    </row>
    <row r="1638" spans="2:11" x14ac:dyDescent="0.3">
      <c r="B1638" s="179">
        <v>3526</v>
      </c>
      <c r="C1638" s="175" t="s">
        <v>1739</v>
      </c>
      <c r="F1638" s="161"/>
      <c r="K1638" s="176"/>
    </row>
    <row r="1639" spans="2:11" x14ac:dyDescent="0.3">
      <c r="B1639" s="179">
        <v>3776</v>
      </c>
      <c r="C1639" s="175" t="s">
        <v>1740</v>
      </c>
      <c r="F1639" s="161"/>
      <c r="K1639" s="176"/>
    </row>
    <row r="1640" spans="2:11" x14ac:dyDescent="0.3">
      <c r="B1640" s="179">
        <v>7521</v>
      </c>
      <c r="C1640" s="175" t="s">
        <v>1741</v>
      </c>
      <c r="F1640" s="161"/>
      <c r="K1640" s="176"/>
    </row>
    <row r="1641" spans="2:11" x14ac:dyDescent="0.3">
      <c r="B1641" s="179">
        <v>100606</v>
      </c>
      <c r="C1641" s="175" t="s">
        <v>1742</v>
      </c>
      <c r="F1641" s="161"/>
      <c r="K1641" s="176"/>
    </row>
    <row r="1642" spans="2:11" x14ac:dyDescent="0.3">
      <c r="B1642" s="179">
        <v>100730</v>
      </c>
      <c r="C1642" s="175" t="s">
        <v>1743</v>
      </c>
      <c r="F1642" s="161"/>
      <c r="K1642" s="176"/>
    </row>
    <row r="1643" spans="2:11" x14ac:dyDescent="0.3">
      <c r="B1643" s="179">
        <v>100989</v>
      </c>
      <c r="C1643" s="175" t="s">
        <v>1744</v>
      </c>
      <c r="F1643" s="161"/>
      <c r="K1643" s="176"/>
    </row>
    <row r="1644" spans="2:11" x14ac:dyDescent="0.3">
      <c r="B1644" s="179">
        <v>101395</v>
      </c>
      <c r="C1644" s="175" t="s">
        <v>1745</v>
      </c>
      <c r="F1644" s="161"/>
      <c r="K1644" s="176"/>
    </row>
    <row r="1645" spans="2:11" x14ac:dyDescent="0.3">
      <c r="B1645" s="179">
        <v>101536</v>
      </c>
      <c r="C1645" s="175" t="s">
        <v>1746</v>
      </c>
      <c r="F1645" s="161"/>
      <c r="K1645" s="176"/>
    </row>
    <row r="1646" spans="2:11" x14ac:dyDescent="0.3">
      <c r="B1646" s="179">
        <v>101537</v>
      </c>
      <c r="C1646" s="175" t="s">
        <v>1747</v>
      </c>
      <c r="F1646" s="161"/>
      <c r="K1646" s="176"/>
    </row>
    <row r="1647" spans="2:11" x14ac:dyDescent="0.3">
      <c r="B1647" s="179">
        <v>87399</v>
      </c>
      <c r="C1647" s="175" t="s">
        <v>1748</v>
      </c>
      <c r="F1647" s="161"/>
      <c r="K1647" s="176"/>
    </row>
    <row r="1648" spans="2:11" x14ac:dyDescent="0.3">
      <c r="B1648" s="179">
        <v>88861</v>
      </c>
      <c r="C1648" s="175" t="s">
        <v>1749</v>
      </c>
      <c r="F1648" s="161"/>
      <c r="K1648" s="176"/>
    </row>
    <row r="1649" spans="2:11" x14ac:dyDescent="0.3">
      <c r="B1649" s="179">
        <v>88877</v>
      </c>
      <c r="C1649" s="175" t="s">
        <v>1750</v>
      </c>
      <c r="F1649" s="161"/>
      <c r="K1649" s="176"/>
    </row>
    <row r="1650" spans="2:11" x14ac:dyDescent="0.3">
      <c r="B1650" s="179">
        <v>89607</v>
      </c>
      <c r="C1650" s="175" t="s">
        <v>1751</v>
      </c>
      <c r="F1650" s="161"/>
      <c r="K1650" s="176"/>
    </row>
    <row r="1651" spans="2:11" x14ac:dyDescent="0.3">
      <c r="B1651" s="179">
        <v>89735</v>
      </c>
      <c r="C1651" s="175" t="s">
        <v>1752</v>
      </c>
      <c r="F1651" s="161"/>
      <c r="K1651" s="176"/>
    </row>
    <row r="1652" spans="2:11" x14ac:dyDescent="0.3">
      <c r="B1652" s="179">
        <v>90279</v>
      </c>
      <c r="C1652" s="175" t="s">
        <v>1753</v>
      </c>
      <c r="F1652" s="161"/>
      <c r="K1652" s="176"/>
    </row>
    <row r="1653" spans="2:11" x14ac:dyDescent="0.3">
      <c r="B1653" s="179">
        <v>90515</v>
      </c>
      <c r="C1653" s="175" t="s">
        <v>1754</v>
      </c>
      <c r="F1653" s="161"/>
      <c r="K1653" s="176"/>
    </row>
    <row r="1654" spans="2:11" x14ac:dyDescent="0.3">
      <c r="B1654" s="179">
        <v>90922</v>
      </c>
      <c r="C1654" s="175" t="s">
        <v>1755</v>
      </c>
      <c r="F1654" s="161"/>
      <c r="K1654" s="176"/>
    </row>
    <row r="1655" spans="2:11" x14ac:dyDescent="0.3">
      <c r="B1655" s="179">
        <v>101198</v>
      </c>
      <c r="C1655" s="175" t="s">
        <v>1756</v>
      </c>
      <c r="F1655" s="161"/>
      <c r="K1655" s="176"/>
    </row>
    <row r="1656" spans="2:11" x14ac:dyDescent="0.3">
      <c r="B1656" s="179">
        <v>101443</v>
      </c>
      <c r="C1656" s="175" t="s">
        <v>1757</v>
      </c>
      <c r="F1656" s="161"/>
      <c r="K1656" s="176"/>
    </row>
    <row r="1657" spans="2:11" x14ac:dyDescent="0.3">
      <c r="B1657" s="179">
        <v>5253</v>
      </c>
      <c r="C1657" s="175" t="s">
        <v>1758</v>
      </c>
      <c r="F1657" s="161"/>
      <c r="K1657" s="176"/>
    </row>
    <row r="1658" spans="2:11" x14ac:dyDescent="0.3">
      <c r="B1658" s="179">
        <v>5775</v>
      </c>
      <c r="C1658" s="175" t="s">
        <v>1759</v>
      </c>
      <c r="F1658" s="161"/>
      <c r="K1658" s="176"/>
    </row>
    <row r="1659" spans="2:11" x14ac:dyDescent="0.3">
      <c r="B1659" s="179">
        <v>8687</v>
      </c>
      <c r="C1659" s="175" t="s">
        <v>1760</v>
      </c>
      <c r="F1659" s="161"/>
      <c r="K1659" s="176"/>
    </row>
    <row r="1660" spans="2:11" x14ac:dyDescent="0.3">
      <c r="B1660" s="179">
        <v>82112</v>
      </c>
      <c r="C1660" s="175" t="s">
        <v>1761</v>
      </c>
      <c r="F1660" s="161"/>
      <c r="K1660" s="176"/>
    </row>
    <row r="1661" spans="2:11" x14ac:dyDescent="0.3">
      <c r="B1661" s="179">
        <v>101450</v>
      </c>
      <c r="C1661" s="175" t="s">
        <v>1762</v>
      </c>
      <c r="F1661" s="161"/>
      <c r="K1661" s="176"/>
    </row>
    <row r="1662" spans="2:11" x14ac:dyDescent="0.3">
      <c r="B1662" s="179">
        <v>101451</v>
      </c>
      <c r="C1662" s="175" t="s">
        <v>1763</v>
      </c>
      <c r="F1662" s="161"/>
      <c r="K1662" s="176"/>
    </row>
    <row r="1663" spans="2:11" x14ac:dyDescent="0.3">
      <c r="B1663" s="179">
        <v>101472</v>
      </c>
      <c r="C1663" s="175" t="s">
        <v>1764</v>
      </c>
      <c r="F1663" s="161"/>
      <c r="K1663" s="176"/>
    </row>
    <row r="1664" spans="2:11" x14ac:dyDescent="0.3">
      <c r="B1664" s="179">
        <v>86113</v>
      </c>
      <c r="C1664" s="175" t="s">
        <v>1765</v>
      </c>
      <c r="F1664" s="161"/>
      <c r="K1664" s="176"/>
    </row>
    <row r="1665" spans="2:11" x14ac:dyDescent="0.3">
      <c r="B1665" s="179">
        <v>86115</v>
      </c>
      <c r="C1665" s="175" t="s">
        <v>1766</v>
      </c>
      <c r="F1665" s="161"/>
      <c r="K1665" s="176"/>
    </row>
    <row r="1666" spans="2:11" x14ac:dyDescent="0.3">
      <c r="B1666" s="179">
        <v>86904</v>
      </c>
      <c r="C1666" s="175" t="s">
        <v>1767</v>
      </c>
      <c r="F1666" s="161"/>
      <c r="K1666" s="176"/>
    </row>
    <row r="1667" spans="2:11" x14ac:dyDescent="0.3">
      <c r="B1667" s="179">
        <v>87161</v>
      </c>
      <c r="C1667" s="175" t="s">
        <v>1768</v>
      </c>
      <c r="F1667" s="161"/>
      <c r="K1667" s="176"/>
    </row>
    <row r="1668" spans="2:11" x14ac:dyDescent="0.3">
      <c r="B1668" s="179">
        <v>87338</v>
      </c>
      <c r="C1668" s="175" t="s">
        <v>1769</v>
      </c>
      <c r="F1668" s="161"/>
      <c r="K1668" s="176"/>
    </row>
    <row r="1669" spans="2:11" x14ac:dyDescent="0.3">
      <c r="B1669" s="179">
        <v>88373</v>
      </c>
      <c r="C1669" s="175" t="s">
        <v>1770</v>
      </c>
      <c r="F1669" s="161"/>
      <c r="K1669" s="176"/>
    </row>
    <row r="1670" spans="2:11" x14ac:dyDescent="0.3">
      <c r="B1670" s="179">
        <v>88648</v>
      </c>
      <c r="C1670" s="175" t="s">
        <v>1771</v>
      </c>
      <c r="F1670" s="161"/>
      <c r="K1670" s="176"/>
    </row>
    <row r="1671" spans="2:11" x14ac:dyDescent="0.3">
      <c r="B1671" s="179">
        <v>88650</v>
      </c>
      <c r="C1671" s="175" t="s">
        <v>1772</v>
      </c>
      <c r="F1671" s="161"/>
      <c r="K1671" s="176"/>
    </row>
    <row r="1672" spans="2:11" x14ac:dyDescent="0.3">
      <c r="B1672" s="179">
        <v>88694</v>
      </c>
      <c r="C1672" s="175" t="s">
        <v>1773</v>
      </c>
      <c r="F1672" s="161"/>
      <c r="K1672" s="176"/>
    </row>
    <row r="1673" spans="2:11" x14ac:dyDescent="0.3">
      <c r="B1673" s="179">
        <v>88806</v>
      </c>
      <c r="C1673" s="175" t="s">
        <v>1774</v>
      </c>
      <c r="F1673" s="161"/>
      <c r="K1673" s="176"/>
    </row>
    <row r="1674" spans="2:11" x14ac:dyDescent="0.3">
      <c r="B1674" s="179">
        <v>89053</v>
      </c>
      <c r="C1674" s="175" t="s">
        <v>1775</v>
      </c>
      <c r="F1674" s="161"/>
      <c r="K1674" s="176"/>
    </row>
    <row r="1675" spans="2:11" x14ac:dyDescent="0.3">
      <c r="B1675" s="179">
        <v>89711</v>
      </c>
      <c r="C1675" s="175" t="s">
        <v>1776</v>
      </c>
      <c r="F1675" s="161"/>
      <c r="K1675" s="176"/>
    </row>
    <row r="1676" spans="2:11" x14ac:dyDescent="0.3">
      <c r="B1676" s="179">
        <v>89821</v>
      </c>
      <c r="C1676" s="175" t="s">
        <v>1777</v>
      </c>
      <c r="F1676" s="161"/>
      <c r="K1676" s="176"/>
    </row>
    <row r="1677" spans="2:11" x14ac:dyDescent="0.3">
      <c r="B1677" s="179">
        <v>89857</v>
      </c>
      <c r="C1677" s="175" t="s">
        <v>1778</v>
      </c>
      <c r="F1677" s="161"/>
      <c r="K1677" s="176"/>
    </row>
    <row r="1678" spans="2:11" x14ac:dyDescent="0.3">
      <c r="B1678" s="179">
        <v>90064</v>
      </c>
      <c r="C1678" s="175" t="s">
        <v>1779</v>
      </c>
      <c r="F1678" s="161"/>
      <c r="K1678" s="176"/>
    </row>
    <row r="1679" spans="2:11" x14ac:dyDescent="0.3">
      <c r="B1679" s="179">
        <v>90282</v>
      </c>
      <c r="C1679" s="175" t="s">
        <v>1780</v>
      </c>
      <c r="F1679" s="161"/>
      <c r="K1679" s="176"/>
    </row>
    <row r="1680" spans="2:11" x14ac:dyDescent="0.3">
      <c r="B1680" s="179">
        <v>101006</v>
      </c>
      <c r="C1680" s="175" t="s">
        <v>1781</v>
      </c>
      <c r="F1680" s="161"/>
      <c r="K1680" s="176"/>
    </row>
    <row r="1681" spans="2:11" x14ac:dyDescent="0.3">
      <c r="B1681" s="179">
        <v>101202</v>
      </c>
      <c r="C1681" s="175" t="s">
        <v>1782</v>
      </c>
      <c r="F1681" s="161"/>
      <c r="K1681" s="176"/>
    </row>
    <row r="1682" spans="2:11" x14ac:dyDescent="0.3">
      <c r="B1682" s="179">
        <v>101583</v>
      </c>
      <c r="C1682" s="175" t="s">
        <v>1783</v>
      </c>
      <c r="F1682" s="161"/>
      <c r="K1682" s="176"/>
    </row>
    <row r="1683" spans="2:11" x14ac:dyDescent="0.3">
      <c r="B1683" s="179">
        <v>2091</v>
      </c>
      <c r="C1683" s="175" t="s">
        <v>1784</v>
      </c>
      <c r="F1683" s="161"/>
      <c r="K1683" s="176"/>
    </row>
    <row r="1684" spans="2:11" x14ac:dyDescent="0.3">
      <c r="B1684" s="179">
        <v>2756</v>
      </c>
      <c r="C1684" s="175" t="s">
        <v>1785</v>
      </c>
      <c r="F1684" s="161"/>
      <c r="K1684" s="176"/>
    </row>
    <row r="1685" spans="2:11" x14ac:dyDescent="0.3">
      <c r="B1685" s="179">
        <v>2761</v>
      </c>
      <c r="C1685" s="175" t="s">
        <v>1786</v>
      </c>
      <c r="F1685" s="161"/>
      <c r="K1685" s="176"/>
    </row>
    <row r="1686" spans="2:11" x14ac:dyDescent="0.3">
      <c r="B1686" s="179">
        <v>2767</v>
      </c>
      <c r="C1686" s="175" t="s">
        <v>1787</v>
      </c>
      <c r="F1686" s="161"/>
      <c r="K1686" s="176"/>
    </row>
    <row r="1687" spans="2:11" x14ac:dyDescent="0.3">
      <c r="B1687" s="179">
        <v>3498</v>
      </c>
      <c r="C1687" s="175" t="s">
        <v>1788</v>
      </c>
      <c r="F1687" s="161"/>
      <c r="K1687" s="176"/>
    </row>
    <row r="1688" spans="2:11" x14ac:dyDescent="0.3">
      <c r="B1688" s="179">
        <v>3770</v>
      </c>
      <c r="C1688" s="175" t="s">
        <v>1789</v>
      </c>
      <c r="F1688" s="161"/>
      <c r="K1688" s="176"/>
    </row>
    <row r="1689" spans="2:11" x14ac:dyDescent="0.3">
      <c r="B1689" s="179">
        <v>3837</v>
      </c>
      <c r="C1689" s="175" t="s">
        <v>1790</v>
      </c>
      <c r="F1689" s="161"/>
      <c r="K1689" s="176"/>
    </row>
    <row r="1690" spans="2:11" x14ac:dyDescent="0.3">
      <c r="B1690" s="179">
        <v>4338</v>
      </c>
      <c r="C1690" s="175" t="s">
        <v>1791</v>
      </c>
      <c r="F1690" s="161"/>
      <c r="K1690" s="176"/>
    </row>
    <row r="1691" spans="2:11" x14ac:dyDescent="0.3">
      <c r="B1691" s="179">
        <v>6275</v>
      </c>
      <c r="C1691" s="175" t="s">
        <v>1792</v>
      </c>
      <c r="F1691" s="161"/>
      <c r="K1691" s="176"/>
    </row>
    <row r="1692" spans="2:11" x14ac:dyDescent="0.3">
      <c r="B1692" s="179">
        <v>86447</v>
      </c>
      <c r="C1692" s="175" t="s">
        <v>1793</v>
      </c>
      <c r="F1692" s="161"/>
      <c r="K1692" s="176"/>
    </row>
    <row r="1693" spans="2:11" x14ac:dyDescent="0.3">
      <c r="B1693" s="179">
        <v>90894</v>
      </c>
      <c r="C1693" s="175" t="s">
        <v>1794</v>
      </c>
      <c r="F1693" s="161"/>
      <c r="K1693" s="176"/>
    </row>
    <row r="1694" spans="2:11" x14ac:dyDescent="0.3">
      <c r="B1694" s="179">
        <v>90942</v>
      </c>
      <c r="C1694" s="175" t="s">
        <v>1795</v>
      </c>
      <c r="F1694" s="161"/>
      <c r="K1694" s="176"/>
    </row>
    <row r="1695" spans="2:11" x14ac:dyDescent="0.3">
      <c r="B1695" s="179">
        <v>100564</v>
      </c>
      <c r="C1695" s="175" t="s">
        <v>1796</v>
      </c>
      <c r="F1695" s="161"/>
      <c r="K1695" s="176"/>
    </row>
    <row r="1696" spans="2:11" x14ac:dyDescent="0.3">
      <c r="B1696" s="179">
        <v>100678</v>
      </c>
      <c r="C1696" s="175" t="s">
        <v>1797</v>
      </c>
      <c r="F1696" s="161"/>
      <c r="K1696" s="176"/>
    </row>
    <row r="1697" spans="2:11" x14ac:dyDescent="0.3">
      <c r="B1697" s="179">
        <v>100683</v>
      </c>
      <c r="C1697" s="175" t="s">
        <v>1798</v>
      </c>
      <c r="F1697" s="161"/>
      <c r="K1697" s="176"/>
    </row>
    <row r="1698" spans="2:11" x14ac:dyDescent="0.3">
      <c r="B1698" s="179">
        <v>100870</v>
      </c>
      <c r="C1698" s="175" t="s">
        <v>1799</v>
      </c>
      <c r="F1698" s="161"/>
      <c r="K1698" s="176"/>
    </row>
    <row r="1699" spans="2:11" x14ac:dyDescent="0.3">
      <c r="B1699" s="179">
        <v>101138</v>
      </c>
      <c r="C1699" s="175" t="s">
        <v>1800</v>
      </c>
      <c r="F1699" s="161"/>
      <c r="K1699" s="176"/>
    </row>
    <row r="1700" spans="2:11" x14ac:dyDescent="0.3">
      <c r="B1700" s="179">
        <v>101383</v>
      </c>
      <c r="C1700" s="175" t="s">
        <v>1801</v>
      </c>
      <c r="F1700" s="161"/>
      <c r="K1700" s="176"/>
    </row>
    <row r="1701" spans="2:11" x14ac:dyDescent="0.3">
      <c r="B1701" s="179">
        <v>86010</v>
      </c>
      <c r="C1701" s="175" t="s">
        <v>1802</v>
      </c>
      <c r="F1701" s="161"/>
      <c r="K1701" s="176"/>
    </row>
    <row r="1702" spans="2:11" x14ac:dyDescent="0.3">
      <c r="B1702" s="179">
        <v>86085</v>
      </c>
      <c r="C1702" s="175" t="s">
        <v>1803</v>
      </c>
      <c r="F1702" s="161"/>
      <c r="K1702" s="176"/>
    </row>
    <row r="1703" spans="2:11" x14ac:dyDescent="0.3">
      <c r="B1703" s="179">
        <v>89178</v>
      </c>
      <c r="C1703" s="175" t="s">
        <v>1804</v>
      </c>
      <c r="F1703" s="161"/>
      <c r="K1703" s="176"/>
    </row>
    <row r="1704" spans="2:11" x14ac:dyDescent="0.3">
      <c r="B1704" s="179">
        <v>89967</v>
      </c>
      <c r="C1704" s="175" t="s">
        <v>1805</v>
      </c>
      <c r="F1704" s="161"/>
      <c r="K1704" s="176"/>
    </row>
    <row r="1705" spans="2:11" x14ac:dyDescent="0.3">
      <c r="B1705" s="179">
        <v>90266</v>
      </c>
      <c r="C1705" s="175" t="s">
        <v>1806</v>
      </c>
      <c r="F1705" s="161"/>
      <c r="K1705" s="176"/>
    </row>
    <row r="1706" spans="2:11" x14ac:dyDescent="0.3">
      <c r="B1706" s="179">
        <v>90889</v>
      </c>
      <c r="C1706" s="175" t="s">
        <v>1807</v>
      </c>
      <c r="F1706" s="161"/>
      <c r="K1706" s="176"/>
    </row>
    <row r="1707" spans="2:11" x14ac:dyDescent="0.3">
      <c r="B1707" s="179">
        <v>100372</v>
      </c>
      <c r="C1707" s="175" t="s">
        <v>1808</v>
      </c>
      <c r="F1707" s="161"/>
      <c r="K1707" s="176"/>
    </row>
    <row r="1708" spans="2:11" x14ac:dyDescent="0.3">
      <c r="B1708" s="179">
        <v>101570</v>
      </c>
      <c r="C1708" s="175" t="s">
        <v>1809</v>
      </c>
      <c r="F1708" s="161"/>
      <c r="K1708" s="176"/>
    </row>
    <row r="1709" spans="2:11" x14ac:dyDescent="0.3">
      <c r="B1709" s="179">
        <v>1721</v>
      </c>
      <c r="C1709" s="175" t="s">
        <v>1810</v>
      </c>
      <c r="F1709" s="161"/>
      <c r="K1709" s="176"/>
    </row>
    <row r="1710" spans="2:11" x14ac:dyDescent="0.3">
      <c r="B1710" s="179">
        <v>2057</v>
      </c>
      <c r="C1710" s="175" t="s">
        <v>1811</v>
      </c>
      <c r="F1710" s="161"/>
      <c r="K1710" s="176"/>
    </row>
    <row r="1711" spans="2:11" x14ac:dyDescent="0.3">
      <c r="B1711" s="179">
        <v>3795</v>
      </c>
      <c r="C1711" s="175" t="s">
        <v>1812</v>
      </c>
      <c r="F1711" s="161"/>
      <c r="K1711" s="176"/>
    </row>
    <row r="1712" spans="2:11" x14ac:dyDescent="0.3">
      <c r="B1712" s="179">
        <v>4283</v>
      </c>
      <c r="C1712" s="175" t="s">
        <v>1813</v>
      </c>
      <c r="F1712" s="161"/>
      <c r="K1712" s="176"/>
    </row>
    <row r="1713" spans="2:11" x14ac:dyDescent="0.3">
      <c r="B1713" s="179">
        <v>90734</v>
      </c>
      <c r="C1713" s="175" t="s">
        <v>1814</v>
      </c>
      <c r="F1713" s="161"/>
      <c r="K1713" s="176"/>
    </row>
    <row r="1714" spans="2:11" x14ac:dyDescent="0.3">
      <c r="B1714" s="179">
        <v>82893</v>
      </c>
      <c r="C1714" s="175" t="s">
        <v>1815</v>
      </c>
      <c r="F1714" s="161"/>
      <c r="K1714" s="176"/>
    </row>
    <row r="1715" spans="2:11" x14ac:dyDescent="0.3">
      <c r="B1715" s="179">
        <v>86643</v>
      </c>
      <c r="C1715" s="175" t="s">
        <v>1816</v>
      </c>
      <c r="F1715" s="161"/>
      <c r="K1715" s="176"/>
    </row>
    <row r="1716" spans="2:11" x14ac:dyDescent="0.3">
      <c r="B1716" s="179">
        <v>86815</v>
      </c>
      <c r="C1716" s="175" t="s">
        <v>1817</v>
      </c>
      <c r="F1716" s="161"/>
      <c r="K1716" s="176"/>
    </row>
    <row r="1717" spans="2:11" x14ac:dyDescent="0.3">
      <c r="B1717" s="179">
        <v>90110</v>
      </c>
      <c r="C1717" s="175" t="s">
        <v>1818</v>
      </c>
      <c r="F1717" s="161"/>
      <c r="K1717" s="176"/>
    </row>
    <row r="1718" spans="2:11" x14ac:dyDescent="0.3">
      <c r="B1718" s="179">
        <v>6217</v>
      </c>
      <c r="C1718" s="175" t="s">
        <v>1819</v>
      </c>
      <c r="F1718" s="161"/>
      <c r="K1718" s="176"/>
    </row>
    <row r="1719" spans="2:11" x14ac:dyDescent="0.3">
      <c r="B1719" s="179">
        <v>6223</v>
      </c>
      <c r="C1719" s="175" t="s">
        <v>1820</v>
      </c>
      <c r="F1719" s="161"/>
      <c r="K1719" s="176"/>
    </row>
    <row r="1720" spans="2:11" x14ac:dyDescent="0.3">
      <c r="B1720" s="179">
        <v>100622</v>
      </c>
      <c r="C1720" s="175" t="s">
        <v>1821</v>
      </c>
      <c r="F1720" s="161"/>
      <c r="K1720" s="176"/>
    </row>
    <row r="1721" spans="2:11" x14ac:dyDescent="0.3">
      <c r="B1721" s="179">
        <v>101473</v>
      </c>
      <c r="C1721" s="175" t="s">
        <v>1822</v>
      </c>
      <c r="F1721" s="161"/>
      <c r="K1721" s="176"/>
    </row>
    <row r="1722" spans="2:11" x14ac:dyDescent="0.3">
      <c r="B1722" s="179">
        <v>101539</v>
      </c>
      <c r="C1722" s="175" t="s">
        <v>1823</v>
      </c>
      <c r="F1722" s="161"/>
      <c r="K1722" s="176"/>
    </row>
    <row r="1723" spans="2:11" x14ac:dyDescent="0.3">
      <c r="B1723" s="179">
        <v>85699</v>
      </c>
      <c r="C1723" s="175" t="s">
        <v>1824</v>
      </c>
      <c r="F1723" s="161"/>
      <c r="K1723" s="176"/>
    </row>
    <row r="1724" spans="2:11" x14ac:dyDescent="0.3">
      <c r="B1724" s="179">
        <v>85834</v>
      </c>
      <c r="C1724" s="175" t="s">
        <v>1825</v>
      </c>
      <c r="F1724" s="161"/>
      <c r="K1724" s="176"/>
    </row>
    <row r="1725" spans="2:11" x14ac:dyDescent="0.3">
      <c r="B1725" s="179">
        <v>88578</v>
      </c>
      <c r="C1725" s="175" t="s">
        <v>1826</v>
      </c>
      <c r="F1725" s="161"/>
      <c r="K1725" s="176"/>
    </row>
    <row r="1726" spans="2:11" x14ac:dyDescent="0.3">
      <c r="B1726" s="179">
        <v>88993</v>
      </c>
      <c r="C1726" s="175" t="s">
        <v>1827</v>
      </c>
      <c r="F1726" s="161"/>
      <c r="K1726" s="176"/>
    </row>
    <row r="1727" spans="2:11" x14ac:dyDescent="0.3">
      <c r="B1727" s="179">
        <v>89553</v>
      </c>
      <c r="C1727" s="175" t="s">
        <v>1828</v>
      </c>
      <c r="F1727" s="161"/>
      <c r="K1727" s="176"/>
    </row>
    <row r="1728" spans="2:11" x14ac:dyDescent="0.3">
      <c r="B1728" s="179">
        <v>90263</v>
      </c>
      <c r="C1728" s="175" t="s">
        <v>1829</v>
      </c>
      <c r="F1728" s="161"/>
      <c r="K1728" s="176"/>
    </row>
    <row r="1729" spans="2:11" x14ac:dyDescent="0.3">
      <c r="B1729" s="179">
        <v>90551</v>
      </c>
      <c r="C1729" s="175" t="s">
        <v>1830</v>
      </c>
      <c r="F1729" s="161"/>
      <c r="K1729" s="176"/>
    </row>
    <row r="1730" spans="2:11" x14ac:dyDescent="0.3">
      <c r="B1730" s="179">
        <v>90755</v>
      </c>
      <c r="C1730" s="175" t="s">
        <v>1831</v>
      </c>
      <c r="F1730" s="161"/>
      <c r="K1730" s="176"/>
    </row>
    <row r="1731" spans="2:11" x14ac:dyDescent="0.3">
      <c r="B1731" s="179">
        <v>100968</v>
      </c>
      <c r="C1731" s="175" t="s">
        <v>1832</v>
      </c>
      <c r="F1731" s="161"/>
      <c r="K1731" s="176"/>
    </row>
    <row r="1732" spans="2:11" x14ac:dyDescent="0.3">
      <c r="B1732" s="179">
        <v>2635</v>
      </c>
      <c r="C1732" s="175" t="s">
        <v>1833</v>
      </c>
      <c r="F1732" s="161"/>
      <c r="K1732" s="176"/>
    </row>
    <row r="1733" spans="2:11" x14ac:dyDescent="0.3">
      <c r="B1733" s="179">
        <v>3793</v>
      </c>
      <c r="C1733" s="175" t="s">
        <v>1834</v>
      </c>
      <c r="F1733" s="161"/>
      <c r="K1733" s="176"/>
    </row>
    <row r="1734" spans="2:11" x14ac:dyDescent="0.3">
      <c r="B1734" s="179">
        <v>3883</v>
      </c>
      <c r="C1734" s="175" t="s">
        <v>1835</v>
      </c>
      <c r="F1734" s="161"/>
      <c r="K1734" s="176"/>
    </row>
    <row r="1735" spans="2:11" x14ac:dyDescent="0.3">
      <c r="B1735" s="179">
        <v>4145</v>
      </c>
      <c r="C1735" s="175" t="s">
        <v>1836</v>
      </c>
      <c r="F1735" s="161"/>
      <c r="K1735" s="176"/>
    </row>
    <row r="1736" spans="2:11" x14ac:dyDescent="0.3">
      <c r="B1736" s="179">
        <v>100961</v>
      </c>
      <c r="C1736" s="175" t="s">
        <v>1837</v>
      </c>
      <c r="F1736" s="161"/>
      <c r="K1736" s="176"/>
    </row>
    <row r="1737" spans="2:11" x14ac:dyDescent="0.3">
      <c r="B1737" s="179">
        <v>100973</v>
      </c>
      <c r="C1737" s="175" t="s">
        <v>1838</v>
      </c>
      <c r="F1737" s="161"/>
      <c r="K1737" s="176"/>
    </row>
    <row r="1738" spans="2:11" x14ac:dyDescent="0.3">
      <c r="B1738" s="179">
        <v>101245</v>
      </c>
      <c r="C1738" s="175" t="s">
        <v>1839</v>
      </c>
      <c r="F1738" s="161"/>
      <c r="K1738" s="176"/>
    </row>
    <row r="1739" spans="2:11" x14ac:dyDescent="0.3">
      <c r="B1739" s="179">
        <v>101449</v>
      </c>
      <c r="C1739" s="175" t="s">
        <v>1840</v>
      </c>
      <c r="F1739" s="161"/>
      <c r="K1739" s="176"/>
    </row>
    <row r="1740" spans="2:11" x14ac:dyDescent="0.3">
      <c r="B1740" s="179">
        <v>87329</v>
      </c>
      <c r="C1740" s="175" t="s">
        <v>1841</v>
      </c>
      <c r="F1740" s="161"/>
      <c r="K1740" s="176"/>
    </row>
    <row r="1741" spans="2:11" x14ac:dyDescent="0.3">
      <c r="B1741" s="179">
        <v>87337</v>
      </c>
      <c r="C1741" s="175" t="s">
        <v>1842</v>
      </c>
      <c r="F1741" s="161"/>
      <c r="K1741" s="176"/>
    </row>
    <row r="1742" spans="2:11" x14ac:dyDescent="0.3">
      <c r="B1742" s="179">
        <v>88217</v>
      </c>
      <c r="C1742" s="175" t="s">
        <v>1843</v>
      </c>
      <c r="F1742" s="161"/>
      <c r="K1742" s="176"/>
    </row>
    <row r="1743" spans="2:11" x14ac:dyDescent="0.3">
      <c r="B1743" s="179">
        <v>88838</v>
      </c>
      <c r="C1743" s="175" t="s">
        <v>1844</v>
      </c>
      <c r="F1743" s="161"/>
      <c r="K1743" s="176"/>
    </row>
    <row r="1744" spans="2:11" x14ac:dyDescent="0.3">
      <c r="B1744" s="179">
        <v>90165</v>
      </c>
      <c r="C1744" s="175" t="s">
        <v>1845</v>
      </c>
      <c r="F1744" s="161"/>
      <c r="K1744" s="176"/>
    </row>
    <row r="1745" spans="2:11" x14ac:dyDescent="0.3">
      <c r="B1745" s="179">
        <v>90341</v>
      </c>
      <c r="C1745" s="175" t="s">
        <v>1846</v>
      </c>
      <c r="F1745" s="161"/>
      <c r="K1745" s="176"/>
    </row>
    <row r="1746" spans="2:11" x14ac:dyDescent="0.3">
      <c r="B1746" s="179">
        <v>101531</v>
      </c>
      <c r="C1746" s="175" t="s">
        <v>1847</v>
      </c>
      <c r="F1746" s="161"/>
      <c r="K1746" s="176"/>
    </row>
    <row r="1747" spans="2:11" x14ac:dyDescent="0.3">
      <c r="B1747" s="179">
        <v>101534</v>
      </c>
      <c r="C1747" s="175" t="s">
        <v>1848</v>
      </c>
      <c r="F1747" s="161"/>
      <c r="K1747" s="176"/>
    </row>
    <row r="1748" spans="2:11" x14ac:dyDescent="0.3">
      <c r="B1748" s="179">
        <v>40131</v>
      </c>
      <c r="C1748" s="175" t="s">
        <v>1849</v>
      </c>
      <c r="F1748" s="161"/>
      <c r="K1748" s="176"/>
    </row>
    <row r="1749" spans="2:11" x14ac:dyDescent="0.3">
      <c r="B1749" s="179">
        <v>100549</v>
      </c>
      <c r="C1749" s="175" t="s">
        <v>1850</v>
      </c>
      <c r="F1749" s="161"/>
      <c r="K1749" s="176"/>
    </row>
    <row r="1750" spans="2:11" x14ac:dyDescent="0.3">
      <c r="B1750" s="179">
        <v>101080</v>
      </c>
      <c r="C1750" s="175" t="s">
        <v>716</v>
      </c>
      <c r="F1750" s="161"/>
      <c r="K1750" s="176"/>
    </row>
    <row r="1751" spans="2:11" x14ac:dyDescent="0.3">
      <c r="B1751" s="179">
        <v>101535</v>
      </c>
      <c r="C1751" s="175" t="s">
        <v>1851</v>
      </c>
      <c r="F1751" s="161"/>
      <c r="K1751" s="176"/>
    </row>
    <row r="1752" spans="2:11" x14ac:dyDescent="0.3">
      <c r="B1752" s="179">
        <v>87204</v>
      </c>
      <c r="C1752" s="175" t="s">
        <v>1852</v>
      </c>
      <c r="F1752" s="161"/>
      <c r="K1752" s="176"/>
    </row>
    <row r="1753" spans="2:11" x14ac:dyDescent="0.3">
      <c r="B1753" s="179">
        <v>87215</v>
      </c>
      <c r="C1753" s="175" t="s">
        <v>1853</v>
      </c>
      <c r="F1753" s="161"/>
      <c r="K1753" s="176"/>
    </row>
    <row r="1754" spans="2:11" x14ac:dyDescent="0.3">
      <c r="B1754" s="179">
        <v>88747</v>
      </c>
      <c r="C1754" s="175" t="s">
        <v>1854</v>
      </c>
      <c r="F1754" s="161"/>
      <c r="K1754" s="176"/>
    </row>
    <row r="1755" spans="2:11" x14ac:dyDescent="0.3">
      <c r="B1755" s="179">
        <v>89440</v>
      </c>
      <c r="C1755" s="175" t="s">
        <v>1855</v>
      </c>
      <c r="F1755" s="161"/>
      <c r="K1755" s="176"/>
    </row>
    <row r="1756" spans="2:11" x14ac:dyDescent="0.3">
      <c r="B1756" s="179">
        <v>101338</v>
      </c>
      <c r="C1756" s="175" t="s">
        <v>1856</v>
      </c>
      <c r="F1756" s="161"/>
      <c r="K1756" s="176"/>
    </row>
    <row r="1757" spans="2:11" x14ac:dyDescent="0.3">
      <c r="B1757" s="179">
        <v>101426</v>
      </c>
      <c r="C1757" s="175" t="s">
        <v>1857</v>
      </c>
      <c r="F1757" s="161"/>
      <c r="K1757" s="176"/>
    </row>
    <row r="1758" spans="2:11" x14ac:dyDescent="0.3">
      <c r="B1758" s="179">
        <v>101436</v>
      </c>
      <c r="C1758" s="175" t="s">
        <v>1858</v>
      </c>
      <c r="F1758" s="161"/>
      <c r="K1758" s="176"/>
    </row>
    <row r="1759" spans="2:11" x14ac:dyDescent="0.3">
      <c r="B1759" s="179">
        <v>101448</v>
      </c>
      <c r="C1759" s="175" t="s">
        <v>1859</v>
      </c>
      <c r="F1759" s="161"/>
      <c r="K1759" s="176"/>
    </row>
    <row r="1760" spans="2:11" x14ac:dyDescent="0.3">
      <c r="B1760" s="179">
        <v>101563</v>
      </c>
      <c r="C1760" s="175" t="s">
        <v>1860</v>
      </c>
      <c r="F1760" s="161"/>
      <c r="K1760" s="176"/>
    </row>
    <row r="1761" spans="2:11" x14ac:dyDescent="0.3">
      <c r="B1761" s="179">
        <v>101582</v>
      </c>
      <c r="C1761" s="175" t="s">
        <v>1861</v>
      </c>
      <c r="F1761" s="161"/>
      <c r="K1761" s="176"/>
    </row>
    <row r="1762" spans="2:11" x14ac:dyDescent="0.3">
      <c r="B1762" s="179">
        <v>2636</v>
      </c>
      <c r="C1762" s="175" t="s">
        <v>1862</v>
      </c>
      <c r="F1762" s="161"/>
      <c r="K1762" s="176"/>
    </row>
    <row r="1763" spans="2:11" x14ac:dyDescent="0.3">
      <c r="B1763" s="179">
        <v>2992</v>
      </c>
      <c r="C1763" s="175" t="s">
        <v>1863</v>
      </c>
      <c r="F1763" s="161"/>
      <c r="K1763" s="176"/>
    </row>
    <row r="1764" spans="2:11" x14ac:dyDescent="0.3">
      <c r="B1764" s="179">
        <v>3182</v>
      </c>
      <c r="C1764" s="175" t="s">
        <v>1864</v>
      </c>
      <c r="F1764" s="161"/>
      <c r="K1764" s="176"/>
    </row>
    <row r="1765" spans="2:11" x14ac:dyDescent="0.3">
      <c r="B1765" s="179">
        <v>4064</v>
      </c>
      <c r="C1765" s="175" t="s">
        <v>667</v>
      </c>
      <c r="F1765" s="161"/>
      <c r="K1765" s="176"/>
    </row>
    <row r="1766" spans="2:11" x14ac:dyDescent="0.3">
      <c r="B1766" s="179">
        <v>5238</v>
      </c>
      <c r="C1766" s="175" t="s">
        <v>1865</v>
      </c>
      <c r="F1766" s="161"/>
      <c r="K1766" s="176"/>
    </row>
    <row r="1767" spans="2:11" x14ac:dyDescent="0.3">
      <c r="B1767" s="179">
        <v>28829</v>
      </c>
      <c r="C1767" s="175" t="s">
        <v>1866</v>
      </c>
      <c r="F1767" s="161"/>
      <c r="K1767" s="176"/>
    </row>
    <row r="1768" spans="2:11" x14ac:dyDescent="0.3">
      <c r="B1768" s="179">
        <v>32007</v>
      </c>
      <c r="C1768" s="175" t="s">
        <v>1867</v>
      </c>
      <c r="F1768" s="161"/>
      <c r="K1768" s="176"/>
    </row>
    <row r="1769" spans="2:11" x14ac:dyDescent="0.3">
      <c r="B1769" s="179">
        <v>90590</v>
      </c>
      <c r="C1769" s="175" t="s">
        <v>1868</v>
      </c>
      <c r="F1769" s="161"/>
      <c r="K1769" s="176"/>
    </row>
    <row r="1770" spans="2:11" x14ac:dyDescent="0.3">
      <c r="B1770" s="179">
        <v>90592</v>
      </c>
      <c r="C1770" s="175" t="s">
        <v>1869</v>
      </c>
      <c r="F1770" s="161"/>
      <c r="K1770" s="176"/>
    </row>
    <row r="1771" spans="2:11" x14ac:dyDescent="0.3">
      <c r="B1771" s="179">
        <v>100696</v>
      </c>
      <c r="C1771" s="175" t="s">
        <v>1870</v>
      </c>
      <c r="F1771" s="161"/>
      <c r="K1771" s="176"/>
    </row>
    <row r="1772" spans="2:11" x14ac:dyDescent="0.3">
      <c r="B1772" s="179">
        <v>100697</v>
      </c>
      <c r="C1772" s="175" t="s">
        <v>1871</v>
      </c>
      <c r="F1772" s="161"/>
      <c r="K1772" s="176"/>
    </row>
    <row r="1773" spans="2:11" x14ac:dyDescent="0.3">
      <c r="B1773" s="179">
        <v>100699</v>
      </c>
      <c r="C1773" s="175" t="s">
        <v>1872</v>
      </c>
      <c r="F1773" s="161"/>
      <c r="K1773" s="176"/>
    </row>
    <row r="1774" spans="2:11" x14ac:dyDescent="0.3">
      <c r="B1774" s="179">
        <v>100881</v>
      </c>
      <c r="C1774" s="175" t="s">
        <v>1873</v>
      </c>
      <c r="F1774" s="161"/>
      <c r="K1774" s="176"/>
    </row>
    <row r="1775" spans="2:11" x14ac:dyDescent="0.3">
      <c r="B1775" s="179">
        <v>100883</v>
      </c>
      <c r="C1775" s="175" t="s">
        <v>1874</v>
      </c>
      <c r="F1775" s="161"/>
      <c r="K1775" s="176"/>
    </row>
    <row r="1776" spans="2:11" x14ac:dyDescent="0.3">
      <c r="B1776" s="179">
        <v>100927</v>
      </c>
      <c r="C1776" s="175" t="s">
        <v>1875</v>
      </c>
      <c r="F1776" s="161"/>
      <c r="K1776" s="176"/>
    </row>
    <row r="1777" spans="2:11" x14ac:dyDescent="0.3">
      <c r="B1777" s="179">
        <v>100972</v>
      </c>
      <c r="C1777" s="175" t="s">
        <v>1876</v>
      </c>
      <c r="F1777" s="161"/>
      <c r="K1777" s="176"/>
    </row>
    <row r="1778" spans="2:11" x14ac:dyDescent="0.3">
      <c r="B1778" s="179">
        <v>101154</v>
      </c>
      <c r="C1778" s="175" t="s">
        <v>1877</v>
      </c>
      <c r="F1778" s="161"/>
      <c r="K1778" s="176"/>
    </row>
    <row r="1779" spans="2:11" x14ac:dyDescent="0.3">
      <c r="B1779" s="179">
        <v>101247</v>
      </c>
      <c r="C1779" s="175" t="s">
        <v>1878</v>
      </c>
      <c r="F1779" s="161"/>
      <c r="K1779" s="176"/>
    </row>
    <row r="1780" spans="2:11" x14ac:dyDescent="0.3">
      <c r="B1780" s="179">
        <v>87110</v>
      </c>
      <c r="C1780" s="175" t="s">
        <v>1879</v>
      </c>
      <c r="F1780" s="161"/>
      <c r="K1780" s="176"/>
    </row>
    <row r="1781" spans="2:11" x14ac:dyDescent="0.3">
      <c r="B1781" s="179">
        <v>87165</v>
      </c>
      <c r="C1781" s="175" t="s">
        <v>1880</v>
      </c>
      <c r="F1781" s="161"/>
      <c r="K1781" s="176"/>
    </row>
    <row r="1782" spans="2:11" x14ac:dyDescent="0.3">
      <c r="B1782" s="179">
        <v>87630</v>
      </c>
      <c r="C1782" s="175" t="s">
        <v>1881</v>
      </c>
      <c r="F1782" s="161"/>
      <c r="K1782" s="176"/>
    </row>
    <row r="1783" spans="2:11" x14ac:dyDescent="0.3">
      <c r="B1783" s="179">
        <v>89271</v>
      </c>
      <c r="C1783" s="175" t="s">
        <v>1882</v>
      </c>
      <c r="F1783" s="161"/>
      <c r="K1783" s="176"/>
    </row>
    <row r="1784" spans="2:11" x14ac:dyDescent="0.3">
      <c r="B1784" s="179">
        <v>89667</v>
      </c>
      <c r="C1784" s="175" t="s">
        <v>1883</v>
      </c>
      <c r="F1784" s="161"/>
      <c r="K1784" s="176"/>
    </row>
    <row r="1785" spans="2:11" x14ac:dyDescent="0.3">
      <c r="B1785" s="179">
        <v>89668</v>
      </c>
      <c r="C1785" s="175" t="s">
        <v>1884</v>
      </c>
      <c r="F1785" s="161"/>
      <c r="K1785" s="176"/>
    </row>
    <row r="1786" spans="2:11" x14ac:dyDescent="0.3">
      <c r="B1786" s="179">
        <v>91093</v>
      </c>
      <c r="C1786" s="175" t="s">
        <v>1885</v>
      </c>
      <c r="F1786" s="161"/>
      <c r="K1786" s="176"/>
    </row>
    <row r="1787" spans="2:11" x14ac:dyDescent="0.3">
      <c r="B1787" s="179">
        <v>100378</v>
      </c>
      <c r="C1787" s="175" t="s">
        <v>1886</v>
      </c>
      <c r="F1787" s="161"/>
      <c r="K1787" s="176"/>
    </row>
    <row r="1788" spans="2:11" x14ac:dyDescent="0.3">
      <c r="B1788" s="179">
        <v>100461</v>
      </c>
      <c r="C1788" s="175" t="s">
        <v>1887</v>
      </c>
      <c r="F1788" s="161"/>
      <c r="K1788" s="176"/>
    </row>
    <row r="1789" spans="2:11" x14ac:dyDescent="0.3">
      <c r="B1789" s="179">
        <v>101167</v>
      </c>
      <c r="C1789" s="175" t="s">
        <v>1888</v>
      </c>
      <c r="F1789" s="161"/>
      <c r="K1789" s="176"/>
    </row>
    <row r="1790" spans="2:11" x14ac:dyDescent="0.3">
      <c r="B1790" s="179">
        <v>6311</v>
      </c>
      <c r="C1790" s="175" t="s">
        <v>1889</v>
      </c>
      <c r="F1790" s="161"/>
      <c r="K1790" s="176"/>
    </row>
    <row r="1791" spans="2:11" x14ac:dyDescent="0.3">
      <c r="B1791" s="179">
        <v>31212</v>
      </c>
      <c r="C1791" s="175" t="s">
        <v>1890</v>
      </c>
      <c r="F1791" s="161"/>
      <c r="K1791" s="176"/>
    </row>
    <row r="1792" spans="2:11" x14ac:dyDescent="0.3">
      <c r="B1792" s="179">
        <v>82257</v>
      </c>
      <c r="C1792" s="175" t="s">
        <v>1891</v>
      </c>
      <c r="F1792" s="161"/>
      <c r="K1792" s="176"/>
    </row>
    <row r="1793" spans="2:11" x14ac:dyDescent="0.3">
      <c r="B1793" s="179">
        <v>90535</v>
      </c>
      <c r="C1793" s="175" t="s">
        <v>1892</v>
      </c>
      <c r="F1793" s="161"/>
      <c r="K1793" s="176"/>
    </row>
    <row r="1794" spans="2:11" x14ac:dyDescent="0.3">
      <c r="B1794" s="179">
        <v>90911</v>
      </c>
      <c r="C1794" s="175" t="s">
        <v>1893</v>
      </c>
      <c r="F1794" s="161"/>
      <c r="K1794" s="176"/>
    </row>
    <row r="1795" spans="2:11" x14ac:dyDescent="0.3">
      <c r="B1795" s="179">
        <v>90912</v>
      </c>
      <c r="C1795" s="175" t="s">
        <v>1894</v>
      </c>
      <c r="F1795" s="161"/>
      <c r="K1795" s="176"/>
    </row>
    <row r="1796" spans="2:11" x14ac:dyDescent="0.3">
      <c r="B1796" s="179">
        <v>101409</v>
      </c>
      <c r="C1796" s="175" t="s">
        <v>1895</v>
      </c>
      <c r="F1796" s="161"/>
      <c r="K1796" s="176"/>
    </row>
    <row r="1797" spans="2:11" x14ac:dyDescent="0.3">
      <c r="B1797" s="179">
        <v>101410</v>
      </c>
      <c r="C1797" s="175" t="s">
        <v>1896</v>
      </c>
      <c r="F1797" s="161"/>
      <c r="K1797" s="176"/>
    </row>
    <row r="1798" spans="2:11" x14ac:dyDescent="0.3">
      <c r="B1798" s="179">
        <v>101530</v>
      </c>
      <c r="C1798" s="175" t="s">
        <v>1897</v>
      </c>
      <c r="F1798" s="161"/>
      <c r="K1798" s="176"/>
    </row>
    <row r="1799" spans="2:11" x14ac:dyDescent="0.3">
      <c r="B1799" s="179">
        <v>85067</v>
      </c>
      <c r="C1799" s="175" t="s">
        <v>1898</v>
      </c>
      <c r="F1799" s="161"/>
      <c r="K1799" s="176"/>
    </row>
    <row r="1800" spans="2:11" x14ac:dyDescent="0.3">
      <c r="B1800" s="179">
        <v>87238</v>
      </c>
      <c r="C1800" s="175" t="s">
        <v>1899</v>
      </c>
      <c r="F1800" s="161"/>
      <c r="K1800" s="176"/>
    </row>
    <row r="1801" spans="2:11" x14ac:dyDescent="0.3">
      <c r="B1801" s="179">
        <v>88991</v>
      </c>
      <c r="C1801" s="175" t="s">
        <v>1900</v>
      </c>
      <c r="F1801" s="161"/>
      <c r="K1801" s="176"/>
    </row>
    <row r="1802" spans="2:11" x14ac:dyDescent="0.3">
      <c r="B1802" s="179">
        <v>88995</v>
      </c>
      <c r="C1802" s="175" t="s">
        <v>1901</v>
      </c>
      <c r="F1802" s="161"/>
      <c r="K1802" s="176"/>
    </row>
    <row r="1803" spans="2:11" x14ac:dyDescent="0.3">
      <c r="B1803" s="179">
        <v>88997</v>
      </c>
      <c r="C1803" s="175" t="s">
        <v>1902</v>
      </c>
      <c r="F1803" s="161"/>
      <c r="K1803" s="176"/>
    </row>
    <row r="1804" spans="2:11" x14ac:dyDescent="0.3">
      <c r="B1804" s="179">
        <v>89765</v>
      </c>
      <c r="C1804" s="175" t="s">
        <v>1903</v>
      </c>
      <c r="F1804" s="161"/>
      <c r="K1804" s="176"/>
    </row>
    <row r="1805" spans="2:11" x14ac:dyDescent="0.3">
      <c r="B1805" s="179">
        <v>90094</v>
      </c>
      <c r="C1805" s="175" t="s">
        <v>1904</v>
      </c>
      <c r="F1805" s="161"/>
      <c r="K1805" s="176"/>
    </row>
    <row r="1806" spans="2:11" x14ac:dyDescent="0.3">
      <c r="B1806" s="179">
        <v>91040</v>
      </c>
      <c r="C1806" s="175" t="s">
        <v>1905</v>
      </c>
      <c r="F1806" s="161"/>
      <c r="K1806" s="176"/>
    </row>
    <row r="1807" spans="2:11" x14ac:dyDescent="0.3">
      <c r="B1807" s="179">
        <v>100829</v>
      </c>
      <c r="C1807" s="175" t="s">
        <v>1906</v>
      </c>
      <c r="F1807" s="161"/>
      <c r="K1807" s="176"/>
    </row>
    <row r="1808" spans="2:11" x14ac:dyDescent="0.3">
      <c r="B1808" s="179">
        <v>1915</v>
      </c>
      <c r="C1808" s="175" t="s">
        <v>1907</v>
      </c>
      <c r="F1808" s="161"/>
      <c r="K1808" s="176"/>
    </row>
    <row r="1809" spans="2:11" x14ac:dyDescent="0.3">
      <c r="B1809" s="179">
        <v>2032</v>
      </c>
      <c r="C1809" s="175" t="s">
        <v>1908</v>
      </c>
      <c r="F1809" s="161"/>
      <c r="K1809" s="176"/>
    </row>
    <row r="1810" spans="2:11" x14ac:dyDescent="0.3">
      <c r="B1810" s="179">
        <v>2040</v>
      </c>
      <c r="C1810" s="175" t="s">
        <v>1909</v>
      </c>
      <c r="F1810" s="161"/>
      <c r="K1810" s="176"/>
    </row>
    <row r="1811" spans="2:11" x14ac:dyDescent="0.3">
      <c r="B1811" s="179">
        <v>2134</v>
      </c>
      <c r="C1811" s="175" t="s">
        <v>1910</v>
      </c>
      <c r="F1811" s="161"/>
      <c r="K1811" s="176"/>
    </row>
    <row r="1812" spans="2:11" x14ac:dyDescent="0.3">
      <c r="B1812" s="179">
        <v>2764</v>
      </c>
      <c r="C1812" s="175" t="s">
        <v>1911</v>
      </c>
      <c r="F1812" s="161"/>
      <c r="K1812" s="176"/>
    </row>
    <row r="1813" spans="2:11" x14ac:dyDescent="0.3">
      <c r="B1813" s="179">
        <v>3354</v>
      </c>
      <c r="C1813" s="175" t="s">
        <v>1912</v>
      </c>
      <c r="F1813" s="161"/>
      <c r="K1813" s="176"/>
    </row>
    <row r="1814" spans="2:11" x14ac:dyDescent="0.3">
      <c r="B1814" s="179">
        <v>4343</v>
      </c>
      <c r="C1814" s="175" t="s">
        <v>1913</v>
      </c>
      <c r="F1814" s="161"/>
      <c r="K1814" s="176"/>
    </row>
    <row r="1815" spans="2:11" x14ac:dyDescent="0.3">
      <c r="B1815" s="179">
        <v>4841</v>
      </c>
      <c r="C1815" s="175" t="s">
        <v>1914</v>
      </c>
      <c r="F1815" s="161"/>
      <c r="K1815" s="176"/>
    </row>
    <row r="1816" spans="2:11" x14ac:dyDescent="0.3">
      <c r="B1816" s="179">
        <v>5803</v>
      </c>
      <c r="C1816" s="175" t="s">
        <v>1915</v>
      </c>
      <c r="F1816" s="161"/>
      <c r="K1816" s="176"/>
    </row>
    <row r="1817" spans="2:11" x14ac:dyDescent="0.3">
      <c r="B1817" s="179">
        <v>8211</v>
      </c>
      <c r="C1817" s="175" t="s">
        <v>1916</v>
      </c>
      <c r="F1817" s="161"/>
      <c r="K1817" s="176"/>
    </row>
    <row r="1818" spans="2:11" x14ac:dyDescent="0.3">
      <c r="B1818" s="179">
        <v>84251</v>
      </c>
      <c r="C1818" s="175" t="s">
        <v>1917</v>
      </c>
      <c r="F1818" s="161"/>
      <c r="K1818" s="176"/>
    </row>
    <row r="1819" spans="2:11" x14ac:dyDescent="0.3">
      <c r="B1819" s="179">
        <v>90865</v>
      </c>
      <c r="C1819" s="175" t="s">
        <v>1918</v>
      </c>
      <c r="F1819" s="161"/>
      <c r="K1819" s="176"/>
    </row>
    <row r="1820" spans="2:11" x14ac:dyDescent="0.3">
      <c r="B1820" s="179">
        <v>91092</v>
      </c>
      <c r="C1820" s="175" t="s">
        <v>1919</v>
      </c>
      <c r="F1820" s="161"/>
      <c r="K1820" s="176"/>
    </row>
    <row r="1821" spans="2:11" x14ac:dyDescent="0.3">
      <c r="B1821" s="179">
        <v>100565</v>
      </c>
      <c r="C1821" s="175" t="s">
        <v>1920</v>
      </c>
      <c r="F1821" s="161"/>
      <c r="K1821" s="176"/>
    </row>
    <row r="1822" spans="2:11" x14ac:dyDescent="0.3">
      <c r="B1822" s="179">
        <v>100566</v>
      </c>
      <c r="C1822" s="175" t="s">
        <v>1921</v>
      </c>
      <c r="F1822" s="161"/>
      <c r="K1822" s="176"/>
    </row>
    <row r="1823" spans="2:11" x14ac:dyDescent="0.3">
      <c r="B1823" s="179">
        <v>101328</v>
      </c>
      <c r="C1823" s="175" t="s">
        <v>1922</v>
      </c>
      <c r="F1823" s="161"/>
      <c r="K1823" s="176"/>
    </row>
    <row r="1824" spans="2:11" x14ac:dyDescent="0.3">
      <c r="B1824" s="179">
        <v>101437</v>
      </c>
      <c r="C1824" s="175" t="s">
        <v>1923</v>
      </c>
      <c r="F1824" s="161"/>
      <c r="K1824" s="176"/>
    </row>
    <row r="1825" spans="2:11" x14ac:dyDescent="0.3">
      <c r="B1825" s="179">
        <v>85294</v>
      </c>
      <c r="C1825" s="175" t="s">
        <v>1924</v>
      </c>
      <c r="F1825" s="161"/>
      <c r="K1825" s="176"/>
    </row>
    <row r="1826" spans="2:11" x14ac:dyDescent="0.3">
      <c r="B1826" s="179">
        <v>87465</v>
      </c>
      <c r="C1826" s="175" t="s">
        <v>1925</v>
      </c>
      <c r="F1826" s="161"/>
      <c r="K1826" s="176"/>
    </row>
    <row r="1827" spans="2:11" x14ac:dyDescent="0.3">
      <c r="B1827" s="179">
        <v>89244</v>
      </c>
      <c r="C1827" s="175" t="s">
        <v>1926</v>
      </c>
      <c r="F1827" s="161"/>
      <c r="K1827" s="176"/>
    </row>
    <row r="1828" spans="2:11" x14ac:dyDescent="0.3">
      <c r="B1828" s="179">
        <v>101397</v>
      </c>
      <c r="C1828" s="175" t="s">
        <v>1703</v>
      </c>
      <c r="F1828" s="161"/>
      <c r="K1828" s="176"/>
    </row>
    <row r="1829" spans="2:11" x14ac:dyDescent="0.3">
      <c r="B1829" s="179">
        <v>101532</v>
      </c>
      <c r="C1829" s="175" t="s">
        <v>1927</v>
      </c>
      <c r="F1829" s="161"/>
      <c r="K1829" s="176"/>
    </row>
    <row r="1830" spans="2:11" x14ac:dyDescent="0.3">
      <c r="B1830" s="179">
        <v>101533</v>
      </c>
      <c r="C1830" s="175" t="s">
        <v>1928</v>
      </c>
      <c r="F1830" s="161"/>
      <c r="K1830" s="176"/>
    </row>
    <row r="1831" spans="2:11" x14ac:dyDescent="0.3">
      <c r="B1831" s="179">
        <v>3176</v>
      </c>
      <c r="C1831" s="175" t="s">
        <v>1929</v>
      </c>
      <c r="F1831" s="161"/>
      <c r="K1831" s="176"/>
    </row>
    <row r="1832" spans="2:11" x14ac:dyDescent="0.3">
      <c r="B1832" s="179">
        <v>3179</v>
      </c>
      <c r="C1832" s="175" t="s">
        <v>1930</v>
      </c>
      <c r="F1832" s="161"/>
      <c r="K1832" s="176"/>
    </row>
    <row r="1833" spans="2:11" x14ac:dyDescent="0.3">
      <c r="B1833" s="179">
        <v>4622</v>
      </c>
      <c r="C1833" s="175" t="s">
        <v>1931</v>
      </c>
      <c r="F1833" s="161"/>
      <c r="K1833" s="176"/>
    </row>
    <row r="1834" spans="2:11" x14ac:dyDescent="0.3">
      <c r="B1834" s="179">
        <v>4846</v>
      </c>
      <c r="C1834" s="175" t="s">
        <v>1932</v>
      </c>
      <c r="F1834" s="161"/>
      <c r="K1834" s="176"/>
    </row>
    <row r="1835" spans="2:11" x14ac:dyDescent="0.3">
      <c r="B1835" s="179">
        <v>5258</v>
      </c>
      <c r="C1835" s="175" t="s">
        <v>1933</v>
      </c>
      <c r="F1835" s="161"/>
      <c r="K1835" s="176"/>
    </row>
    <row r="1836" spans="2:11" x14ac:dyDescent="0.3">
      <c r="B1836" s="179">
        <v>82482</v>
      </c>
      <c r="C1836" s="175" t="s">
        <v>1934</v>
      </c>
      <c r="F1836" s="161"/>
      <c r="K1836" s="176"/>
    </row>
    <row r="1837" spans="2:11" x14ac:dyDescent="0.3">
      <c r="B1837" s="179">
        <v>100646</v>
      </c>
      <c r="C1837" s="175" t="s">
        <v>1935</v>
      </c>
      <c r="F1837" s="161"/>
      <c r="K1837" s="176"/>
    </row>
    <row r="1838" spans="2:11" x14ac:dyDescent="0.3">
      <c r="B1838" s="179">
        <v>100647</v>
      </c>
      <c r="C1838" s="175" t="s">
        <v>1936</v>
      </c>
      <c r="F1838" s="161"/>
      <c r="K1838" s="176"/>
    </row>
    <row r="1839" spans="2:11" x14ac:dyDescent="0.3">
      <c r="B1839" s="179">
        <v>101009</v>
      </c>
      <c r="C1839" s="175" t="s">
        <v>1937</v>
      </c>
      <c r="F1839" s="161"/>
      <c r="K1839" s="176"/>
    </row>
    <row r="1840" spans="2:11" x14ac:dyDescent="0.3">
      <c r="B1840" s="179">
        <v>101110</v>
      </c>
      <c r="C1840" s="175" t="s">
        <v>1938</v>
      </c>
      <c r="F1840" s="161"/>
      <c r="K1840" s="176"/>
    </row>
    <row r="1841" spans="2:11" x14ac:dyDescent="0.3">
      <c r="B1841" s="179">
        <v>101141</v>
      </c>
      <c r="C1841" s="175" t="s">
        <v>1939</v>
      </c>
      <c r="F1841" s="161"/>
      <c r="K1841" s="176"/>
    </row>
    <row r="1842" spans="2:11" x14ac:dyDescent="0.3">
      <c r="B1842" s="179">
        <v>86799</v>
      </c>
      <c r="C1842" s="175" t="s">
        <v>1940</v>
      </c>
      <c r="F1842" s="161"/>
      <c r="K1842" s="176"/>
    </row>
    <row r="1843" spans="2:11" x14ac:dyDescent="0.3">
      <c r="B1843" s="179">
        <v>87256</v>
      </c>
      <c r="C1843" s="175" t="s">
        <v>1941</v>
      </c>
      <c r="F1843" s="161"/>
      <c r="K1843" s="176"/>
    </row>
    <row r="1844" spans="2:11" x14ac:dyDescent="0.3">
      <c r="B1844" s="179">
        <v>87258</v>
      </c>
      <c r="C1844" s="175" t="s">
        <v>1942</v>
      </c>
      <c r="F1844" s="161"/>
      <c r="K1844" s="176"/>
    </row>
    <row r="1845" spans="2:11" x14ac:dyDescent="0.3">
      <c r="B1845" s="179">
        <v>88139</v>
      </c>
      <c r="C1845" s="175" t="s">
        <v>1943</v>
      </c>
      <c r="F1845" s="161"/>
      <c r="K1845" s="176"/>
    </row>
    <row r="1846" spans="2:11" x14ac:dyDescent="0.3">
      <c r="B1846" s="179">
        <v>88140</v>
      </c>
      <c r="C1846" s="175" t="s">
        <v>1944</v>
      </c>
      <c r="F1846" s="161"/>
      <c r="K1846" s="176"/>
    </row>
    <row r="1847" spans="2:11" x14ac:dyDescent="0.3">
      <c r="B1847" s="179">
        <v>88301</v>
      </c>
      <c r="C1847" s="175" t="s">
        <v>1945</v>
      </c>
      <c r="F1847" s="161"/>
      <c r="K1847" s="176"/>
    </row>
    <row r="1848" spans="2:11" x14ac:dyDescent="0.3">
      <c r="B1848" s="179">
        <v>88629</v>
      </c>
      <c r="C1848" s="175" t="s">
        <v>1946</v>
      </c>
      <c r="F1848" s="161"/>
      <c r="K1848" s="176"/>
    </row>
    <row r="1849" spans="2:11" x14ac:dyDescent="0.3">
      <c r="B1849" s="179">
        <v>89507</v>
      </c>
      <c r="C1849" s="175" t="s">
        <v>1947</v>
      </c>
      <c r="F1849" s="161"/>
      <c r="K1849" s="176"/>
    </row>
    <row r="1850" spans="2:11" x14ac:dyDescent="0.3">
      <c r="B1850" s="179">
        <v>100518</v>
      </c>
      <c r="C1850" s="175" t="s">
        <v>1948</v>
      </c>
      <c r="F1850" s="161"/>
      <c r="K1850" s="176"/>
    </row>
    <row r="1851" spans="2:11" x14ac:dyDescent="0.3">
      <c r="B1851" s="179">
        <v>3207</v>
      </c>
      <c r="C1851" s="175" t="s">
        <v>1949</v>
      </c>
      <c r="F1851" s="161"/>
      <c r="K1851" s="176"/>
    </row>
    <row r="1852" spans="2:11" x14ac:dyDescent="0.3">
      <c r="B1852" s="179">
        <v>3208</v>
      </c>
      <c r="C1852" s="175" t="s">
        <v>1950</v>
      </c>
      <c r="F1852" s="161"/>
      <c r="K1852" s="176"/>
    </row>
    <row r="1853" spans="2:11" x14ac:dyDescent="0.3">
      <c r="B1853" s="179">
        <v>3210</v>
      </c>
      <c r="C1853" s="175" t="s">
        <v>1951</v>
      </c>
      <c r="F1853" s="161"/>
      <c r="K1853" s="176"/>
    </row>
    <row r="1854" spans="2:11" x14ac:dyDescent="0.3">
      <c r="B1854" s="179">
        <v>4060</v>
      </c>
      <c r="C1854" s="175" t="s">
        <v>1952</v>
      </c>
      <c r="F1854" s="161"/>
      <c r="K1854" s="176"/>
    </row>
    <row r="1855" spans="2:11" x14ac:dyDescent="0.3">
      <c r="B1855" s="179">
        <v>4994</v>
      </c>
      <c r="C1855" s="175" t="s">
        <v>1379</v>
      </c>
      <c r="F1855" s="161"/>
      <c r="K1855" s="176"/>
    </row>
    <row r="1856" spans="2:11" x14ac:dyDescent="0.3">
      <c r="B1856" s="179">
        <v>22317</v>
      </c>
      <c r="C1856" s="175" t="s">
        <v>1953</v>
      </c>
      <c r="F1856" s="161"/>
      <c r="K1856" s="176"/>
    </row>
    <row r="1857" spans="2:11" x14ac:dyDescent="0.3">
      <c r="B1857" s="179">
        <v>90543</v>
      </c>
      <c r="C1857" s="175" t="s">
        <v>1954</v>
      </c>
      <c r="F1857" s="161"/>
      <c r="K1857" s="176"/>
    </row>
    <row r="1858" spans="2:11" x14ac:dyDescent="0.3">
      <c r="B1858" s="179">
        <v>100557</v>
      </c>
      <c r="C1858" s="175" t="s">
        <v>1955</v>
      </c>
      <c r="F1858" s="161"/>
      <c r="K1858" s="176"/>
    </row>
    <row r="1859" spans="2:11" x14ac:dyDescent="0.3">
      <c r="B1859" s="179">
        <v>101280</v>
      </c>
      <c r="C1859" s="175" t="s">
        <v>1956</v>
      </c>
      <c r="F1859" s="161"/>
      <c r="K1859" s="176"/>
    </row>
    <row r="1860" spans="2:11" x14ac:dyDescent="0.3">
      <c r="B1860" s="179">
        <v>85668</v>
      </c>
      <c r="C1860" s="175" t="s">
        <v>1957</v>
      </c>
      <c r="F1860" s="161"/>
      <c r="K1860" s="176"/>
    </row>
    <row r="1861" spans="2:11" x14ac:dyDescent="0.3">
      <c r="B1861" s="179">
        <v>87784</v>
      </c>
      <c r="C1861" s="175" t="s">
        <v>1958</v>
      </c>
      <c r="F1861" s="161"/>
      <c r="K1861" s="176"/>
    </row>
    <row r="1862" spans="2:11" x14ac:dyDescent="0.3">
      <c r="B1862" s="179">
        <v>87787</v>
      </c>
      <c r="C1862" s="175" t="s">
        <v>1959</v>
      </c>
      <c r="F1862" s="161"/>
      <c r="K1862" s="176"/>
    </row>
    <row r="1863" spans="2:11" x14ac:dyDescent="0.3">
      <c r="B1863" s="179">
        <v>88327</v>
      </c>
      <c r="C1863" s="175" t="s">
        <v>1142</v>
      </c>
      <c r="F1863" s="161"/>
      <c r="K1863" s="176"/>
    </row>
    <row r="1864" spans="2:11" x14ac:dyDescent="0.3">
      <c r="B1864" s="179">
        <v>89338</v>
      </c>
      <c r="C1864" s="175" t="s">
        <v>1960</v>
      </c>
      <c r="F1864" s="161"/>
      <c r="K1864" s="176"/>
    </row>
    <row r="1865" spans="2:11" x14ac:dyDescent="0.3">
      <c r="B1865" s="179">
        <v>89339</v>
      </c>
      <c r="C1865" s="175" t="s">
        <v>1961</v>
      </c>
      <c r="F1865" s="161"/>
      <c r="K1865" s="176"/>
    </row>
    <row r="1866" spans="2:11" x14ac:dyDescent="0.3">
      <c r="B1866" s="179">
        <v>89971</v>
      </c>
      <c r="C1866" s="175" t="s">
        <v>1962</v>
      </c>
      <c r="F1866" s="161"/>
      <c r="K1866" s="176"/>
    </row>
    <row r="1867" spans="2:11" x14ac:dyDescent="0.3">
      <c r="B1867" s="179">
        <v>89972</v>
      </c>
      <c r="C1867" s="175" t="s">
        <v>1963</v>
      </c>
      <c r="F1867" s="161"/>
      <c r="K1867" s="176"/>
    </row>
    <row r="1868" spans="2:11" x14ac:dyDescent="0.3">
      <c r="B1868" s="179">
        <v>89973</v>
      </c>
      <c r="C1868" s="175" t="s">
        <v>1964</v>
      </c>
      <c r="F1868" s="161"/>
      <c r="K1868" s="176"/>
    </row>
    <row r="1869" spans="2:11" x14ac:dyDescent="0.3">
      <c r="B1869" s="179">
        <v>91186</v>
      </c>
      <c r="C1869" s="175" t="s">
        <v>1965</v>
      </c>
      <c r="F1869" s="161"/>
      <c r="K1869" s="176"/>
    </row>
    <row r="1870" spans="2:11" x14ac:dyDescent="0.3">
      <c r="B1870" s="179">
        <v>100492</v>
      </c>
      <c r="C1870" s="175" t="s">
        <v>1966</v>
      </c>
      <c r="F1870" s="161"/>
      <c r="K1870" s="176"/>
    </row>
    <row r="1871" spans="2:11" x14ac:dyDescent="0.3">
      <c r="B1871" s="179">
        <v>100725</v>
      </c>
      <c r="C1871" s="175" t="s">
        <v>1967</v>
      </c>
      <c r="F1871" s="161"/>
      <c r="K1871" s="176"/>
    </row>
    <row r="1872" spans="2:11" x14ac:dyDescent="0.3">
      <c r="B1872" s="179">
        <v>101295</v>
      </c>
      <c r="C1872" s="175" t="s">
        <v>1968</v>
      </c>
      <c r="F1872" s="161"/>
      <c r="K1872" s="176"/>
    </row>
    <row r="1873" spans="2:11" x14ac:dyDescent="0.3">
      <c r="B1873" s="179">
        <v>101478</v>
      </c>
      <c r="C1873" s="175" t="s">
        <v>1969</v>
      </c>
      <c r="F1873" s="161"/>
      <c r="K1873" s="176"/>
    </row>
    <row r="1874" spans="2:11" x14ac:dyDescent="0.3">
      <c r="B1874" s="179">
        <v>2850</v>
      </c>
      <c r="C1874" s="175" t="s">
        <v>1970</v>
      </c>
      <c r="F1874" s="161"/>
      <c r="K1874" s="176"/>
    </row>
    <row r="1875" spans="2:11" x14ac:dyDescent="0.3">
      <c r="B1875" s="179">
        <v>3364</v>
      </c>
      <c r="C1875" s="175" t="s">
        <v>1971</v>
      </c>
      <c r="F1875" s="161"/>
      <c r="K1875" s="176"/>
    </row>
    <row r="1876" spans="2:11" x14ac:dyDescent="0.3">
      <c r="B1876" s="179">
        <v>4933</v>
      </c>
      <c r="C1876" s="175" t="s">
        <v>1972</v>
      </c>
      <c r="F1876" s="161"/>
      <c r="K1876" s="176"/>
    </row>
    <row r="1877" spans="2:11" x14ac:dyDescent="0.3">
      <c r="B1877" s="179">
        <v>5398</v>
      </c>
      <c r="C1877" s="175" t="s">
        <v>1973</v>
      </c>
      <c r="F1877" s="161"/>
      <c r="K1877" s="176"/>
    </row>
    <row r="1878" spans="2:11" x14ac:dyDescent="0.3">
      <c r="B1878" s="179">
        <v>5652</v>
      </c>
      <c r="C1878" s="175" t="s">
        <v>1974</v>
      </c>
      <c r="F1878" s="161"/>
      <c r="K1878" s="176"/>
    </row>
    <row r="1879" spans="2:11" x14ac:dyDescent="0.3">
      <c r="B1879" s="179">
        <v>68616</v>
      </c>
      <c r="C1879" s="175" t="s">
        <v>1975</v>
      </c>
      <c r="F1879" s="161"/>
      <c r="K1879" s="176"/>
    </row>
    <row r="1880" spans="2:11" x14ac:dyDescent="0.3">
      <c r="B1880" s="179">
        <v>91245</v>
      </c>
      <c r="C1880" s="175" t="s">
        <v>1976</v>
      </c>
      <c r="F1880" s="161"/>
      <c r="K1880" s="176"/>
    </row>
    <row r="1881" spans="2:11" x14ac:dyDescent="0.3">
      <c r="B1881" s="179">
        <v>100922</v>
      </c>
      <c r="C1881" s="175" t="s">
        <v>1977</v>
      </c>
      <c r="F1881" s="161"/>
      <c r="K1881" s="176"/>
    </row>
    <row r="1882" spans="2:11" x14ac:dyDescent="0.3">
      <c r="B1882" s="179">
        <v>86662</v>
      </c>
      <c r="C1882" s="175" t="s">
        <v>1978</v>
      </c>
      <c r="F1882" s="161"/>
      <c r="K1882" s="176"/>
    </row>
    <row r="1883" spans="2:11" x14ac:dyDescent="0.3">
      <c r="B1883" s="179">
        <v>87036</v>
      </c>
      <c r="C1883" s="175" t="s">
        <v>1979</v>
      </c>
      <c r="F1883" s="161"/>
      <c r="K1883" s="176"/>
    </row>
    <row r="1884" spans="2:11" x14ac:dyDescent="0.3">
      <c r="B1884" s="179">
        <v>89966</v>
      </c>
      <c r="C1884" s="175" t="s">
        <v>1980</v>
      </c>
      <c r="F1884" s="161"/>
      <c r="K1884" s="176"/>
    </row>
    <row r="1885" spans="2:11" x14ac:dyDescent="0.3">
      <c r="B1885" s="179">
        <v>100819</v>
      </c>
      <c r="C1885" s="175" t="s">
        <v>1981</v>
      </c>
      <c r="F1885" s="161"/>
      <c r="K1885" s="176"/>
    </row>
    <row r="1886" spans="2:11" x14ac:dyDescent="0.3">
      <c r="B1886" s="179">
        <v>14159</v>
      </c>
      <c r="C1886" s="175" t="s">
        <v>1982</v>
      </c>
      <c r="F1886" s="161"/>
      <c r="K1886" s="176"/>
    </row>
    <row r="1887" spans="2:11" x14ac:dyDescent="0.3">
      <c r="B1887" s="179">
        <v>90860</v>
      </c>
      <c r="C1887" s="175" t="s">
        <v>1983</v>
      </c>
      <c r="F1887" s="161"/>
      <c r="K1887" s="176"/>
    </row>
    <row r="1888" spans="2:11" x14ac:dyDescent="0.3">
      <c r="B1888" s="179">
        <v>90880</v>
      </c>
      <c r="C1888" s="175" t="s">
        <v>1984</v>
      </c>
      <c r="F1888" s="161"/>
      <c r="K1888" s="176"/>
    </row>
    <row r="1889" spans="2:11" x14ac:dyDescent="0.3">
      <c r="B1889" s="179">
        <v>101468</v>
      </c>
      <c r="C1889" s="175" t="s">
        <v>1985</v>
      </c>
      <c r="F1889" s="161"/>
      <c r="K1889" s="176"/>
    </row>
    <row r="1890" spans="2:11" x14ac:dyDescent="0.3">
      <c r="B1890" s="179">
        <v>87698</v>
      </c>
      <c r="C1890" s="175" t="s">
        <v>1986</v>
      </c>
      <c r="F1890" s="161"/>
      <c r="K1890" s="176"/>
    </row>
    <row r="1891" spans="2:11" x14ac:dyDescent="0.3">
      <c r="B1891" s="179">
        <v>87730</v>
      </c>
      <c r="C1891" s="175" t="s">
        <v>1987</v>
      </c>
      <c r="F1891" s="161"/>
      <c r="K1891" s="176"/>
    </row>
    <row r="1892" spans="2:11" x14ac:dyDescent="0.3">
      <c r="B1892" s="179">
        <v>88330</v>
      </c>
      <c r="C1892" s="175" t="s">
        <v>1988</v>
      </c>
      <c r="F1892" s="161"/>
      <c r="K1892" s="176"/>
    </row>
    <row r="1893" spans="2:11" x14ac:dyDescent="0.3">
      <c r="B1893" s="179">
        <v>88440</v>
      </c>
      <c r="C1893" s="175" t="s">
        <v>1989</v>
      </c>
      <c r="F1893" s="161"/>
      <c r="K1893" s="176"/>
    </row>
    <row r="1894" spans="2:11" x14ac:dyDescent="0.3">
      <c r="B1894" s="179">
        <v>88721</v>
      </c>
      <c r="C1894" s="175" t="s">
        <v>1990</v>
      </c>
      <c r="F1894" s="161"/>
      <c r="K1894" s="176"/>
    </row>
    <row r="1895" spans="2:11" x14ac:dyDescent="0.3">
      <c r="B1895" s="179">
        <v>89366</v>
      </c>
      <c r="C1895" s="175" t="s">
        <v>1991</v>
      </c>
      <c r="F1895" s="161"/>
      <c r="K1895" s="176"/>
    </row>
    <row r="1896" spans="2:11" x14ac:dyDescent="0.3">
      <c r="B1896" s="179">
        <v>89367</v>
      </c>
      <c r="C1896" s="175" t="s">
        <v>1992</v>
      </c>
      <c r="F1896" s="161"/>
      <c r="K1896" s="176"/>
    </row>
    <row r="1897" spans="2:11" x14ac:dyDescent="0.3">
      <c r="B1897" s="179">
        <v>89895</v>
      </c>
      <c r="C1897" s="175" t="s">
        <v>1993</v>
      </c>
      <c r="F1897" s="161"/>
      <c r="K1897" s="176"/>
    </row>
    <row r="1898" spans="2:11" x14ac:dyDescent="0.3">
      <c r="B1898" s="179">
        <v>100582</v>
      </c>
      <c r="C1898" s="175" t="s">
        <v>1994</v>
      </c>
      <c r="F1898" s="161"/>
      <c r="K1898" s="176"/>
    </row>
    <row r="1899" spans="2:11" x14ac:dyDescent="0.3">
      <c r="B1899" s="179">
        <v>100583</v>
      </c>
      <c r="C1899" s="175" t="s">
        <v>1995</v>
      </c>
      <c r="F1899" s="161"/>
      <c r="K1899" s="176"/>
    </row>
    <row r="1900" spans="2:11" x14ac:dyDescent="0.3">
      <c r="B1900" s="179">
        <v>100589</v>
      </c>
      <c r="C1900" s="175" t="s">
        <v>1996</v>
      </c>
      <c r="F1900" s="161"/>
      <c r="K1900" s="176"/>
    </row>
    <row r="1901" spans="2:11" x14ac:dyDescent="0.3">
      <c r="B1901" s="179">
        <v>100736</v>
      </c>
      <c r="C1901" s="175" t="s">
        <v>1997</v>
      </c>
      <c r="F1901" s="161"/>
      <c r="K1901" s="176"/>
    </row>
    <row r="1902" spans="2:11" x14ac:dyDescent="0.3">
      <c r="B1902" s="179">
        <v>101016</v>
      </c>
      <c r="C1902" s="175" t="s">
        <v>1998</v>
      </c>
      <c r="F1902" s="161"/>
      <c r="K1902" s="176"/>
    </row>
    <row r="1903" spans="2:11" x14ac:dyDescent="0.3">
      <c r="B1903" s="179">
        <v>3306</v>
      </c>
      <c r="C1903" s="175" t="s">
        <v>1999</v>
      </c>
      <c r="F1903" s="161"/>
      <c r="K1903" s="176"/>
    </row>
    <row r="1904" spans="2:11" x14ac:dyDescent="0.3">
      <c r="B1904" s="179">
        <v>5063</v>
      </c>
      <c r="C1904" s="175" t="s">
        <v>2000</v>
      </c>
      <c r="F1904" s="161"/>
      <c r="K1904" s="176"/>
    </row>
    <row r="1905" spans="2:11" x14ac:dyDescent="0.3">
      <c r="B1905" s="179">
        <v>5201</v>
      </c>
      <c r="C1905" s="175" t="s">
        <v>2001</v>
      </c>
      <c r="F1905" s="161"/>
      <c r="K1905" s="176"/>
    </row>
    <row r="1906" spans="2:11" x14ac:dyDescent="0.3">
      <c r="B1906" s="179">
        <v>6306</v>
      </c>
      <c r="C1906" s="175" t="s">
        <v>2002</v>
      </c>
      <c r="F1906" s="161"/>
      <c r="K1906" s="176"/>
    </row>
    <row r="1907" spans="2:11" x14ac:dyDescent="0.3">
      <c r="B1907" s="179">
        <v>6422</v>
      </c>
      <c r="C1907" s="175" t="s">
        <v>2003</v>
      </c>
      <c r="F1907" s="161"/>
      <c r="K1907" s="176"/>
    </row>
    <row r="1908" spans="2:11" x14ac:dyDescent="0.3">
      <c r="B1908" s="179">
        <v>7653</v>
      </c>
      <c r="C1908" s="175" t="s">
        <v>2004</v>
      </c>
      <c r="F1908" s="161"/>
      <c r="K1908" s="176"/>
    </row>
    <row r="1909" spans="2:11" x14ac:dyDescent="0.3">
      <c r="B1909" s="179">
        <v>7654</v>
      </c>
      <c r="C1909" s="175" t="s">
        <v>2005</v>
      </c>
      <c r="F1909" s="161"/>
      <c r="K1909" s="176"/>
    </row>
    <row r="1910" spans="2:11" x14ac:dyDescent="0.3">
      <c r="B1910" s="179">
        <v>9404</v>
      </c>
      <c r="C1910" s="175" t="s">
        <v>2006</v>
      </c>
      <c r="F1910" s="161"/>
      <c r="K1910" s="176"/>
    </row>
    <row r="1911" spans="2:11" x14ac:dyDescent="0.3">
      <c r="B1911" s="179">
        <v>23638</v>
      </c>
      <c r="C1911" s="175" t="s">
        <v>2007</v>
      </c>
      <c r="F1911" s="161"/>
      <c r="K1911" s="176"/>
    </row>
    <row r="1912" spans="2:11" x14ac:dyDescent="0.3">
      <c r="B1912" s="179">
        <v>91087</v>
      </c>
      <c r="C1912" s="175" t="s">
        <v>2008</v>
      </c>
      <c r="F1912" s="161"/>
      <c r="K1912" s="176"/>
    </row>
    <row r="1913" spans="2:11" x14ac:dyDescent="0.3">
      <c r="B1913" s="179">
        <v>100430</v>
      </c>
      <c r="C1913" s="175" t="s">
        <v>2009</v>
      </c>
      <c r="F1913" s="161"/>
      <c r="K1913" s="176"/>
    </row>
    <row r="1914" spans="2:11" x14ac:dyDescent="0.3">
      <c r="B1914" s="179">
        <v>100433</v>
      </c>
      <c r="C1914" s="175" t="s">
        <v>2010</v>
      </c>
      <c r="F1914" s="161"/>
      <c r="K1914" s="176"/>
    </row>
    <row r="1915" spans="2:11" x14ac:dyDescent="0.3">
      <c r="B1915" s="179">
        <v>100434</v>
      </c>
      <c r="C1915" s="175" t="s">
        <v>2011</v>
      </c>
      <c r="F1915" s="161"/>
      <c r="K1915" s="176"/>
    </row>
    <row r="1916" spans="2:11" x14ac:dyDescent="0.3">
      <c r="B1916" s="179">
        <v>100442</v>
      </c>
      <c r="C1916" s="175" t="s">
        <v>2012</v>
      </c>
      <c r="F1916" s="161"/>
      <c r="K1916" s="176"/>
    </row>
    <row r="1917" spans="2:11" x14ac:dyDescent="0.3">
      <c r="B1917" s="179">
        <v>86847</v>
      </c>
      <c r="C1917" s="175" t="s">
        <v>2013</v>
      </c>
      <c r="F1917" s="161"/>
      <c r="K1917" s="176"/>
    </row>
    <row r="1918" spans="2:11" x14ac:dyDescent="0.3">
      <c r="B1918" s="179">
        <v>86951</v>
      </c>
      <c r="C1918" s="175" t="s">
        <v>2014</v>
      </c>
      <c r="F1918" s="161"/>
      <c r="K1918" s="176"/>
    </row>
    <row r="1919" spans="2:11" x14ac:dyDescent="0.3">
      <c r="B1919" s="179">
        <v>87684</v>
      </c>
      <c r="C1919" s="175" t="s">
        <v>2015</v>
      </c>
      <c r="F1919" s="161"/>
      <c r="K1919" s="176"/>
    </row>
    <row r="1920" spans="2:11" x14ac:dyDescent="0.3">
      <c r="B1920" s="179">
        <v>89487</v>
      </c>
      <c r="C1920" s="175" t="s">
        <v>2016</v>
      </c>
      <c r="F1920" s="161"/>
      <c r="K1920" s="176"/>
    </row>
    <row r="1921" spans="2:11" x14ac:dyDescent="0.3">
      <c r="B1921" s="179">
        <v>89611</v>
      </c>
      <c r="C1921" s="175" t="s">
        <v>2017</v>
      </c>
      <c r="F1921" s="161"/>
      <c r="K1921" s="176"/>
    </row>
    <row r="1922" spans="2:11" x14ac:dyDescent="0.3">
      <c r="B1922" s="179">
        <v>89706</v>
      </c>
      <c r="C1922" s="175" t="s">
        <v>2018</v>
      </c>
      <c r="F1922" s="161"/>
      <c r="K1922" s="176"/>
    </row>
    <row r="1923" spans="2:11" x14ac:dyDescent="0.3">
      <c r="B1923" s="179">
        <v>100840</v>
      </c>
      <c r="C1923" s="175" t="s">
        <v>362</v>
      </c>
      <c r="F1923" s="161"/>
      <c r="K1923" s="176"/>
    </row>
    <row r="1924" spans="2:11" x14ac:dyDescent="0.3">
      <c r="B1924" s="179">
        <v>2183</v>
      </c>
      <c r="C1924" s="175" t="s">
        <v>2019</v>
      </c>
      <c r="F1924" s="161"/>
      <c r="K1924" s="176"/>
    </row>
    <row r="1925" spans="2:11" x14ac:dyDescent="0.3">
      <c r="B1925" s="179">
        <v>5202</v>
      </c>
      <c r="C1925" s="175" t="s">
        <v>2020</v>
      </c>
      <c r="F1925" s="161"/>
      <c r="K1925" s="176"/>
    </row>
    <row r="1926" spans="2:11" x14ac:dyDescent="0.3">
      <c r="B1926" s="179">
        <v>6314</v>
      </c>
      <c r="C1926" s="175" t="s">
        <v>2021</v>
      </c>
      <c r="F1926" s="161"/>
      <c r="K1926" s="176"/>
    </row>
    <row r="1927" spans="2:11" x14ac:dyDescent="0.3">
      <c r="B1927" s="179">
        <v>22611</v>
      </c>
      <c r="C1927" s="175" t="s">
        <v>2022</v>
      </c>
      <c r="F1927" s="161"/>
      <c r="K1927" s="176"/>
    </row>
    <row r="1928" spans="2:11" x14ac:dyDescent="0.3">
      <c r="B1928" s="179">
        <v>31092</v>
      </c>
      <c r="C1928" s="175" t="s">
        <v>2023</v>
      </c>
      <c r="F1928" s="161"/>
      <c r="K1928" s="176"/>
    </row>
    <row r="1929" spans="2:11" x14ac:dyDescent="0.3">
      <c r="B1929" s="179">
        <v>91190</v>
      </c>
      <c r="C1929" s="175" t="s">
        <v>2024</v>
      </c>
      <c r="F1929" s="161"/>
      <c r="K1929" s="176"/>
    </row>
    <row r="1930" spans="2:11" x14ac:dyDescent="0.3">
      <c r="B1930" s="179">
        <v>91191</v>
      </c>
      <c r="C1930" s="175" t="s">
        <v>2025</v>
      </c>
      <c r="F1930" s="161"/>
      <c r="K1930" s="176"/>
    </row>
    <row r="1931" spans="2:11" x14ac:dyDescent="0.3">
      <c r="B1931" s="179">
        <v>100948</v>
      </c>
      <c r="C1931" s="175" t="s">
        <v>2026</v>
      </c>
      <c r="F1931" s="161"/>
      <c r="K1931" s="176"/>
    </row>
    <row r="1932" spans="2:11" x14ac:dyDescent="0.3">
      <c r="B1932" s="179">
        <v>101297</v>
      </c>
      <c r="C1932" s="175" t="s">
        <v>2027</v>
      </c>
      <c r="F1932" s="161"/>
      <c r="K1932" s="176"/>
    </row>
    <row r="1933" spans="2:11" x14ac:dyDescent="0.3">
      <c r="B1933" s="179">
        <v>85313</v>
      </c>
      <c r="C1933" s="175" t="s">
        <v>2028</v>
      </c>
      <c r="F1933" s="161"/>
      <c r="K1933" s="176"/>
    </row>
    <row r="1934" spans="2:11" x14ac:dyDescent="0.3">
      <c r="B1934" s="179">
        <v>87283</v>
      </c>
      <c r="C1934" s="175" t="s">
        <v>2029</v>
      </c>
      <c r="F1934" s="161"/>
      <c r="K1934" s="176"/>
    </row>
    <row r="1935" spans="2:11" x14ac:dyDescent="0.3">
      <c r="B1935" s="179">
        <v>88703</v>
      </c>
      <c r="C1935" s="175" t="s">
        <v>2030</v>
      </c>
      <c r="F1935" s="161"/>
      <c r="K1935" s="176"/>
    </row>
    <row r="1936" spans="2:11" x14ac:dyDescent="0.3">
      <c r="B1936" s="179">
        <v>89753</v>
      </c>
      <c r="C1936" s="175" t="s">
        <v>2031</v>
      </c>
      <c r="F1936" s="161"/>
      <c r="K1936" s="176"/>
    </row>
    <row r="1937" spans="2:11" x14ac:dyDescent="0.3">
      <c r="B1937" s="179">
        <v>90145</v>
      </c>
      <c r="C1937" s="175" t="s">
        <v>2032</v>
      </c>
      <c r="F1937" s="161"/>
      <c r="K1937" s="176"/>
    </row>
    <row r="1938" spans="2:11" x14ac:dyDescent="0.3">
      <c r="B1938" s="179">
        <v>100688</v>
      </c>
      <c r="C1938" s="175" t="s">
        <v>2033</v>
      </c>
      <c r="F1938" s="161"/>
      <c r="K1938" s="176"/>
    </row>
    <row r="1939" spans="2:11" x14ac:dyDescent="0.3">
      <c r="B1939" s="179">
        <v>1094</v>
      </c>
      <c r="C1939" s="175" t="s">
        <v>2034</v>
      </c>
      <c r="F1939" s="161"/>
      <c r="K1939" s="176"/>
    </row>
    <row r="1940" spans="2:11" x14ac:dyDescent="0.3">
      <c r="B1940" s="179">
        <v>1829</v>
      </c>
      <c r="C1940" s="175" t="s">
        <v>2035</v>
      </c>
      <c r="F1940" s="161"/>
      <c r="K1940" s="176"/>
    </row>
    <row r="1941" spans="2:11" x14ac:dyDescent="0.3">
      <c r="B1941" s="179">
        <v>2122</v>
      </c>
      <c r="C1941" s="175" t="s">
        <v>2036</v>
      </c>
      <c r="F1941" s="161"/>
      <c r="K1941" s="176"/>
    </row>
    <row r="1942" spans="2:11" x14ac:dyDescent="0.3">
      <c r="B1942" s="179">
        <v>2805</v>
      </c>
      <c r="C1942" s="175" t="s">
        <v>2037</v>
      </c>
      <c r="F1942" s="161"/>
      <c r="K1942" s="176"/>
    </row>
    <row r="1943" spans="2:11" x14ac:dyDescent="0.3">
      <c r="B1943" s="179">
        <v>4260</v>
      </c>
      <c r="C1943" s="175" t="s">
        <v>2038</v>
      </c>
      <c r="F1943" s="161"/>
      <c r="K1943" s="176"/>
    </row>
    <row r="1944" spans="2:11" x14ac:dyDescent="0.3">
      <c r="B1944" s="179">
        <v>4621</v>
      </c>
      <c r="C1944" s="175" t="s">
        <v>2039</v>
      </c>
      <c r="F1944" s="161"/>
      <c r="K1944" s="176"/>
    </row>
    <row r="1945" spans="2:11" x14ac:dyDescent="0.3">
      <c r="B1945" s="179">
        <v>6298</v>
      </c>
      <c r="C1945" s="175" t="s">
        <v>2040</v>
      </c>
      <c r="F1945" s="161"/>
      <c r="K1945" s="176"/>
    </row>
    <row r="1946" spans="2:11" x14ac:dyDescent="0.3">
      <c r="B1946" s="179">
        <v>9461</v>
      </c>
      <c r="C1946" s="175" t="s">
        <v>2041</v>
      </c>
      <c r="F1946" s="161"/>
      <c r="K1946" s="176"/>
    </row>
    <row r="1947" spans="2:11" x14ac:dyDescent="0.3">
      <c r="B1947" s="179">
        <v>39581</v>
      </c>
      <c r="C1947" s="175" t="s">
        <v>2042</v>
      </c>
      <c r="F1947" s="161"/>
      <c r="K1947" s="176"/>
    </row>
    <row r="1948" spans="2:11" x14ac:dyDescent="0.3">
      <c r="B1948" s="179">
        <v>90194</v>
      </c>
      <c r="C1948" s="175" t="s">
        <v>2043</v>
      </c>
      <c r="F1948" s="161"/>
      <c r="K1948" s="176"/>
    </row>
    <row r="1949" spans="2:11" x14ac:dyDescent="0.3">
      <c r="B1949" s="179">
        <v>90198</v>
      </c>
      <c r="C1949" s="175" t="s">
        <v>2044</v>
      </c>
      <c r="F1949" s="161"/>
      <c r="K1949" s="176"/>
    </row>
    <row r="1950" spans="2:11" x14ac:dyDescent="0.3">
      <c r="B1950" s="179">
        <v>100542</v>
      </c>
      <c r="C1950" s="175" t="s">
        <v>2045</v>
      </c>
      <c r="F1950" s="161"/>
      <c r="K1950" s="176"/>
    </row>
    <row r="1951" spans="2:11" x14ac:dyDescent="0.3">
      <c r="B1951" s="179">
        <v>101326</v>
      </c>
      <c r="C1951" s="175" t="s">
        <v>2046</v>
      </c>
      <c r="F1951" s="161"/>
      <c r="K1951" s="176"/>
    </row>
    <row r="1952" spans="2:11" x14ac:dyDescent="0.3">
      <c r="B1952" s="179">
        <v>86109</v>
      </c>
      <c r="C1952" s="175" t="s">
        <v>2047</v>
      </c>
      <c r="F1952" s="161"/>
      <c r="K1952" s="176"/>
    </row>
    <row r="1953" spans="2:11" x14ac:dyDescent="0.3">
      <c r="B1953" s="179">
        <v>88357</v>
      </c>
      <c r="C1953" s="175" t="s">
        <v>2048</v>
      </c>
      <c r="F1953" s="161"/>
      <c r="K1953" s="176"/>
    </row>
    <row r="1954" spans="2:11" x14ac:dyDescent="0.3">
      <c r="B1954" s="179">
        <v>89853</v>
      </c>
      <c r="C1954" s="175" t="s">
        <v>2049</v>
      </c>
      <c r="F1954" s="161"/>
      <c r="K1954" s="176"/>
    </row>
    <row r="1955" spans="2:11" x14ac:dyDescent="0.3">
      <c r="B1955" s="179">
        <v>89898</v>
      </c>
      <c r="C1955" s="175" t="s">
        <v>2050</v>
      </c>
      <c r="F1955" s="161"/>
      <c r="K1955" s="176"/>
    </row>
    <row r="1956" spans="2:11" x14ac:dyDescent="0.3">
      <c r="B1956" s="179">
        <v>90947</v>
      </c>
      <c r="C1956" s="175" t="s">
        <v>2051</v>
      </c>
      <c r="F1956" s="161"/>
      <c r="K1956" s="176"/>
    </row>
    <row r="1957" spans="2:11" x14ac:dyDescent="0.3">
      <c r="B1957" s="179">
        <v>948</v>
      </c>
      <c r="C1957" s="175" t="s">
        <v>2052</v>
      </c>
      <c r="F1957" s="161"/>
      <c r="K1957" s="176"/>
    </row>
    <row r="1958" spans="2:11" x14ac:dyDescent="0.3">
      <c r="B1958" s="179">
        <v>1857</v>
      </c>
      <c r="C1958" s="175" t="s">
        <v>2053</v>
      </c>
      <c r="F1958" s="161"/>
      <c r="K1958" s="176"/>
    </row>
    <row r="1959" spans="2:11" x14ac:dyDescent="0.3">
      <c r="B1959" s="179">
        <v>2059</v>
      </c>
      <c r="C1959" s="175" t="s">
        <v>2054</v>
      </c>
      <c r="F1959" s="161"/>
      <c r="K1959" s="176"/>
    </row>
    <row r="1960" spans="2:11" x14ac:dyDescent="0.3">
      <c r="B1960" s="179">
        <v>2075</v>
      </c>
      <c r="C1960" s="175" t="s">
        <v>2055</v>
      </c>
      <c r="F1960" s="161"/>
      <c r="K1960" s="176"/>
    </row>
    <row r="1961" spans="2:11" x14ac:dyDescent="0.3">
      <c r="B1961" s="179">
        <v>4347</v>
      </c>
      <c r="C1961" s="175" t="s">
        <v>2056</v>
      </c>
      <c r="F1961" s="161"/>
      <c r="K1961" s="176"/>
    </row>
    <row r="1962" spans="2:11" x14ac:dyDescent="0.3">
      <c r="B1962" s="179">
        <v>4577</v>
      </c>
      <c r="C1962" s="175" t="s">
        <v>2057</v>
      </c>
      <c r="F1962" s="161"/>
      <c r="K1962" s="176"/>
    </row>
    <row r="1963" spans="2:11" x14ac:dyDescent="0.3">
      <c r="B1963" s="179">
        <v>42922</v>
      </c>
      <c r="C1963" s="175" t="s">
        <v>2058</v>
      </c>
      <c r="F1963" s="161"/>
      <c r="K1963" s="176"/>
    </row>
    <row r="1964" spans="2:11" x14ac:dyDescent="0.3">
      <c r="B1964" s="179">
        <v>81373</v>
      </c>
      <c r="C1964" s="175" t="s">
        <v>2059</v>
      </c>
      <c r="F1964" s="161"/>
      <c r="K1964" s="176"/>
    </row>
    <row r="1965" spans="2:11" x14ac:dyDescent="0.3">
      <c r="B1965" s="179">
        <v>90924</v>
      </c>
      <c r="C1965" s="175" t="s">
        <v>2060</v>
      </c>
      <c r="F1965" s="161"/>
      <c r="K1965" s="176"/>
    </row>
    <row r="1966" spans="2:11" x14ac:dyDescent="0.3">
      <c r="B1966" s="179">
        <v>100516</v>
      </c>
      <c r="C1966" s="175" t="s">
        <v>2061</v>
      </c>
      <c r="F1966" s="161"/>
      <c r="K1966" s="176"/>
    </row>
    <row r="1967" spans="2:11" x14ac:dyDescent="0.3">
      <c r="B1967" s="179">
        <v>100649</v>
      </c>
      <c r="C1967" s="175" t="s">
        <v>2062</v>
      </c>
      <c r="F1967" s="161"/>
      <c r="K1967" s="176"/>
    </row>
    <row r="1968" spans="2:11" x14ac:dyDescent="0.3">
      <c r="B1968" s="179">
        <v>101123</v>
      </c>
      <c r="C1968" s="175" t="s">
        <v>2063</v>
      </c>
      <c r="F1968" s="161"/>
      <c r="K1968" s="176"/>
    </row>
    <row r="1969" spans="2:11" x14ac:dyDescent="0.3">
      <c r="B1969" s="179">
        <v>101542</v>
      </c>
      <c r="C1969" s="175" t="s">
        <v>2064</v>
      </c>
      <c r="F1969" s="161"/>
      <c r="K1969" s="176"/>
    </row>
    <row r="1970" spans="2:11" x14ac:dyDescent="0.3">
      <c r="B1970" s="179">
        <v>90070</v>
      </c>
      <c r="C1970" s="175" t="s">
        <v>2065</v>
      </c>
      <c r="F1970" s="161"/>
      <c r="K1970" s="176"/>
    </row>
    <row r="1971" spans="2:11" x14ac:dyDescent="0.3">
      <c r="B1971" s="179">
        <v>90071</v>
      </c>
      <c r="C1971" s="175" t="s">
        <v>2066</v>
      </c>
      <c r="F1971" s="161"/>
      <c r="K1971" s="176"/>
    </row>
    <row r="1972" spans="2:11" x14ac:dyDescent="0.3">
      <c r="B1972" s="179">
        <v>90102</v>
      </c>
      <c r="C1972" s="175" t="s">
        <v>2067</v>
      </c>
      <c r="F1972" s="161"/>
      <c r="K1972" s="176"/>
    </row>
    <row r="1973" spans="2:11" x14ac:dyDescent="0.3">
      <c r="B1973" s="179">
        <v>90188</v>
      </c>
      <c r="C1973" s="175" t="s">
        <v>2068</v>
      </c>
      <c r="F1973" s="161"/>
      <c r="K1973" s="176"/>
    </row>
    <row r="1974" spans="2:11" x14ac:dyDescent="0.3">
      <c r="B1974" s="179">
        <v>90609</v>
      </c>
      <c r="C1974" s="175" t="s">
        <v>2069</v>
      </c>
      <c r="F1974" s="161"/>
      <c r="K1974" s="176"/>
    </row>
    <row r="1975" spans="2:11" x14ac:dyDescent="0.3">
      <c r="B1975" s="179">
        <v>37819</v>
      </c>
      <c r="C1975" s="175" t="s">
        <v>2070</v>
      </c>
      <c r="F1975" s="161"/>
      <c r="K1975" s="176"/>
    </row>
    <row r="1976" spans="2:11" x14ac:dyDescent="0.3">
      <c r="B1976" s="179">
        <v>5200</v>
      </c>
      <c r="C1976" s="175" t="s">
        <v>2071</v>
      </c>
      <c r="F1976" s="161"/>
      <c r="K1976" s="176"/>
    </row>
    <row r="1977" spans="2:11" x14ac:dyDescent="0.3">
      <c r="B1977" s="179">
        <v>2350</v>
      </c>
      <c r="C1977" s="175" t="s">
        <v>2072</v>
      </c>
      <c r="F1977" s="161"/>
      <c r="K1977" s="176"/>
    </row>
    <row r="1978" spans="2:11" x14ac:dyDescent="0.3">
      <c r="B1978" s="179">
        <v>3319</v>
      </c>
      <c r="C1978" s="175" t="s">
        <v>2073</v>
      </c>
      <c r="F1978" s="161"/>
      <c r="K1978" s="176"/>
    </row>
    <row r="1979" spans="2:11" x14ac:dyDescent="0.3">
      <c r="B1979" s="179">
        <v>5279</v>
      </c>
      <c r="C1979" s="175" t="s">
        <v>2074</v>
      </c>
      <c r="F1979" s="161"/>
      <c r="K1979" s="176"/>
    </row>
    <row r="1980" spans="2:11" x14ac:dyDescent="0.3">
      <c r="B1980" s="179">
        <v>5999</v>
      </c>
      <c r="C1980" s="175" t="s">
        <v>2075</v>
      </c>
      <c r="F1980" s="161"/>
      <c r="K1980" s="176"/>
    </row>
    <row r="1981" spans="2:11" x14ac:dyDescent="0.3">
      <c r="B1981" s="179">
        <v>6126</v>
      </c>
      <c r="C1981" s="175" t="s">
        <v>2076</v>
      </c>
      <c r="F1981" s="161"/>
      <c r="K1981" s="176"/>
    </row>
    <row r="1982" spans="2:11" x14ac:dyDescent="0.3">
      <c r="B1982" s="179">
        <v>8619</v>
      </c>
      <c r="C1982" s="175" t="s">
        <v>2077</v>
      </c>
      <c r="F1982" s="161"/>
      <c r="K1982" s="176"/>
    </row>
    <row r="1983" spans="2:11" x14ac:dyDescent="0.3">
      <c r="B1983" s="179">
        <v>9567</v>
      </c>
      <c r="C1983" s="175" t="s">
        <v>2078</v>
      </c>
      <c r="F1983" s="161"/>
      <c r="K1983" s="176"/>
    </row>
    <row r="1984" spans="2:11" x14ac:dyDescent="0.3">
      <c r="B1984" s="179">
        <v>11505</v>
      </c>
      <c r="C1984" s="175" t="s">
        <v>2079</v>
      </c>
      <c r="F1984" s="161"/>
      <c r="K1984" s="176"/>
    </row>
    <row r="1985" spans="2:11" x14ac:dyDescent="0.3">
      <c r="B1985" s="179">
        <v>38719</v>
      </c>
      <c r="C1985" s="175" t="s">
        <v>2080</v>
      </c>
      <c r="F1985" s="161"/>
      <c r="K1985" s="176"/>
    </row>
    <row r="1986" spans="2:11" x14ac:dyDescent="0.3">
      <c r="B1986" s="179">
        <v>85710</v>
      </c>
      <c r="C1986" s="175" t="s">
        <v>2081</v>
      </c>
      <c r="F1986" s="161"/>
      <c r="K1986" s="176"/>
    </row>
    <row r="1987" spans="2:11" x14ac:dyDescent="0.3">
      <c r="B1987" s="179">
        <v>88103</v>
      </c>
      <c r="C1987" s="175" t="s">
        <v>2082</v>
      </c>
      <c r="F1987" s="161"/>
      <c r="K1987" s="176"/>
    </row>
    <row r="1988" spans="2:11" x14ac:dyDescent="0.3">
      <c r="B1988" s="179">
        <v>88668</v>
      </c>
      <c r="C1988" s="175" t="s">
        <v>2083</v>
      </c>
      <c r="F1988" s="161"/>
      <c r="K1988" s="176"/>
    </row>
    <row r="1989" spans="2:11" x14ac:dyDescent="0.3">
      <c r="B1989" s="179">
        <v>89215</v>
      </c>
      <c r="C1989" s="175" t="s">
        <v>2084</v>
      </c>
      <c r="F1989" s="161"/>
      <c r="K1989" s="176"/>
    </row>
    <row r="1990" spans="2:11" x14ac:dyDescent="0.3">
      <c r="B1990" s="179">
        <v>89832</v>
      </c>
      <c r="C1990" s="175" t="s">
        <v>2085</v>
      </c>
      <c r="F1990" s="161"/>
      <c r="K1990" s="176"/>
    </row>
    <row r="1991" spans="2:11" x14ac:dyDescent="0.3">
      <c r="B1991" s="179">
        <v>90000</v>
      </c>
      <c r="C1991" s="175" t="s">
        <v>2086</v>
      </c>
      <c r="F1991" s="161"/>
      <c r="K1991" s="176"/>
    </row>
    <row r="1992" spans="2:11" x14ac:dyDescent="0.3">
      <c r="B1992" s="179">
        <v>91084</v>
      </c>
      <c r="C1992" s="175" t="s">
        <v>2087</v>
      </c>
      <c r="F1992" s="161"/>
      <c r="K1992" s="176"/>
    </row>
    <row r="1993" spans="2:11" x14ac:dyDescent="0.3">
      <c r="B1993" s="179">
        <v>100437</v>
      </c>
      <c r="C1993" s="175" t="s">
        <v>2088</v>
      </c>
      <c r="F1993" s="161"/>
      <c r="K1993" s="176"/>
    </row>
    <row r="1994" spans="2:11" x14ac:dyDescent="0.3">
      <c r="B1994" s="179">
        <v>100530</v>
      </c>
      <c r="C1994" s="175" t="s">
        <v>2089</v>
      </c>
      <c r="F1994" s="161"/>
      <c r="K1994" s="176"/>
    </row>
    <row r="1995" spans="2:11" x14ac:dyDescent="0.3">
      <c r="B1995" s="179">
        <v>100834</v>
      </c>
      <c r="C1995" s="175" t="s">
        <v>2090</v>
      </c>
      <c r="F1995" s="161"/>
      <c r="K1995" s="176"/>
    </row>
    <row r="1996" spans="2:11" x14ac:dyDescent="0.3">
      <c r="B1996" s="179">
        <v>101181</v>
      </c>
      <c r="C1996" s="175" t="s">
        <v>2091</v>
      </c>
      <c r="F1996" s="161"/>
      <c r="K1996" s="176"/>
    </row>
    <row r="1997" spans="2:11" x14ac:dyDescent="0.3">
      <c r="B1997" s="179">
        <v>4885</v>
      </c>
      <c r="C1997" s="175" t="s">
        <v>2092</v>
      </c>
      <c r="F1997" s="161"/>
      <c r="K1997" s="176"/>
    </row>
    <row r="1998" spans="2:11" x14ac:dyDescent="0.3">
      <c r="B1998" s="179">
        <v>18435</v>
      </c>
      <c r="C1998" s="175" t="s">
        <v>2093</v>
      </c>
      <c r="F1998" s="161"/>
      <c r="K1998" s="176"/>
    </row>
    <row r="1999" spans="2:11" x14ac:dyDescent="0.3">
      <c r="B1999" s="179">
        <v>90435</v>
      </c>
      <c r="C1999" s="175" t="s">
        <v>2094</v>
      </c>
      <c r="F1999" s="161"/>
      <c r="K1999" s="176"/>
    </row>
    <row r="2000" spans="2:11" x14ac:dyDescent="0.3">
      <c r="B2000" s="179">
        <v>91019</v>
      </c>
      <c r="C2000" s="175" t="s">
        <v>2095</v>
      </c>
      <c r="F2000" s="161"/>
      <c r="K2000" s="176"/>
    </row>
    <row r="2001" spans="2:11" x14ac:dyDescent="0.3">
      <c r="B2001" s="179">
        <v>100435</v>
      </c>
      <c r="C2001" s="175" t="s">
        <v>2096</v>
      </c>
      <c r="F2001" s="161"/>
      <c r="K2001" s="176"/>
    </row>
    <row r="2002" spans="2:11" x14ac:dyDescent="0.3">
      <c r="B2002" s="179">
        <v>101157</v>
      </c>
      <c r="C2002" s="175" t="s">
        <v>2097</v>
      </c>
      <c r="F2002" s="161"/>
      <c r="K2002" s="176"/>
    </row>
    <row r="2003" spans="2:11" x14ac:dyDescent="0.3">
      <c r="B2003" s="179">
        <v>87824</v>
      </c>
      <c r="C2003" s="175" t="s">
        <v>2098</v>
      </c>
      <c r="F2003" s="161"/>
      <c r="K2003" s="176"/>
    </row>
    <row r="2004" spans="2:11" x14ac:dyDescent="0.3">
      <c r="B2004" s="179">
        <v>88649</v>
      </c>
      <c r="C2004" s="175" t="s">
        <v>2099</v>
      </c>
      <c r="F2004" s="161"/>
      <c r="K2004" s="176"/>
    </row>
    <row r="2005" spans="2:11" x14ac:dyDescent="0.3">
      <c r="B2005" s="179">
        <v>88981</v>
      </c>
      <c r="C2005" s="175" t="s">
        <v>2100</v>
      </c>
      <c r="F2005" s="161"/>
      <c r="K2005" s="176"/>
    </row>
    <row r="2006" spans="2:11" x14ac:dyDescent="0.3">
      <c r="B2006" s="179">
        <v>90208</v>
      </c>
      <c r="C2006" s="175" t="s">
        <v>2101</v>
      </c>
      <c r="F2006" s="161"/>
      <c r="K2006" s="176"/>
    </row>
    <row r="2007" spans="2:11" x14ac:dyDescent="0.3">
      <c r="B2007" s="179">
        <v>90788</v>
      </c>
      <c r="C2007" s="175" t="s">
        <v>2102</v>
      </c>
      <c r="F2007" s="161"/>
      <c r="K2007" s="176"/>
    </row>
    <row r="2008" spans="2:11" x14ac:dyDescent="0.3">
      <c r="B2008" s="179">
        <v>91086</v>
      </c>
      <c r="C2008" s="175" t="s">
        <v>2103</v>
      </c>
      <c r="F2008" s="161"/>
      <c r="K2008" s="176"/>
    </row>
    <row r="2009" spans="2:11" x14ac:dyDescent="0.3">
      <c r="B2009" s="179">
        <v>91159</v>
      </c>
      <c r="C2009" s="175" t="s">
        <v>2104</v>
      </c>
      <c r="F2009" s="161"/>
      <c r="K2009" s="176"/>
    </row>
    <row r="2010" spans="2:11" x14ac:dyDescent="0.3">
      <c r="B2010" s="179">
        <v>100536</v>
      </c>
      <c r="C2010" s="175" t="s">
        <v>2105</v>
      </c>
      <c r="F2010" s="161"/>
      <c r="K2010" s="176"/>
    </row>
    <row r="2011" spans="2:11" x14ac:dyDescent="0.3">
      <c r="B2011" s="179">
        <v>100541</v>
      </c>
      <c r="C2011" s="175" t="s">
        <v>2106</v>
      </c>
      <c r="F2011" s="161"/>
      <c r="K2011" s="176"/>
    </row>
    <row r="2012" spans="2:11" x14ac:dyDescent="0.3">
      <c r="B2012" s="179">
        <v>100639</v>
      </c>
      <c r="C2012" s="175" t="s">
        <v>2107</v>
      </c>
      <c r="F2012" s="161"/>
      <c r="K2012" s="176"/>
    </row>
    <row r="2013" spans="2:11" x14ac:dyDescent="0.3">
      <c r="B2013" s="179">
        <v>100674</v>
      </c>
      <c r="C2013" s="175" t="s">
        <v>2108</v>
      </c>
      <c r="F2013" s="161"/>
      <c r="K2013" s="176"/>
    </row>
    <row r="2014" spans="2:11" x14ac:dyDescent="0.3">
      <c r="B2014" s="179">
        <v>100767</v>
      </c>
      <c r="C2014" s="175" t="s">
        <v>2109</v>
      </c>
      <c r="F2014" s="161"/>
      <c r="K2014" s="176"/>
    </row>
    <row r="2015" spans="2:11" x14ac:dyDescent="0.3">
      <c r="B2015" s="179">
        <v>100769</v>
      </c>
      <c r="C2015" s="175" t="s">
        <v>2110</v>
      </c>
      <c r="F2015" s="161"/>
      <c r="K2015" s="176"/>
    </row>
    <row r="2016" spans="2:11" x14ac:dyDescent="0.3">
      <c r="B2016" s="179">
        <v>100872</v>
      </c>
      <c r="C2016" s="175" t="s">
        <v>2111</v>
      </c>
      <c r="F2016" s="161"/>
      <c r="K2016" s="176"/>
    </row>
    <row r="2017" spans="2:11" x14ac:dyDescent="0.3">
      <c r="B2017" s="179">
        <v>28729</v>
      </c>
      <c r="C2017" s="175" t="s">
        <v>2112</v>
      </c>
      <c r="F2017" s="161"/>
      <c r="K2017" s="176"/>
    </row>
    <row r="2018" spans="2:11" x14ac:dyDescent="0.3">
      <c r="B2018" s="179">
        <v>33787</v>
      </c>
      <c r="C2018" s="175" t="s">
        <v>2113</v>
      </c>
      <c r="F2018" s="161"/>
      <c r="K2018" s="176"/>
    </row>
    <row r="2019" spans="2:11" x14ac:dyDescent="0.3">
      <c r="B2019" s="179">
        <v>100873</v>
      </c>
      <c r="C2019" s="175" t="s">
        <v>2114</v>
      </c>
      <c r="F2019" s="161"/>
      <c r="K2019" s="176"/>
    </row>
    <row r="2020" spans="2:11" x14ac:dyDescent="0.3">
      <c r="B2020" s="179">
        <v>100874</v>
      </c>
      <c r="C2020" s="175" t="s">
        <v>2115</v>
      </c>
      <c r="F2020" s="161"/>
      <c r="K2020" s="176"/>
    </row>
    <row r="2021" spans="2:11" x14ac:dyDescent="0.3">
      <c r="B2021" s="179">
        <v>101092</v>
      </c>
      <c r="C2021" s="175" t="s">
        <v>2116</v>
      </c>
      <c r="F2021" s="161"/>
      <c r="K2021" s="176"/>
    </row>
    <row r="2022" spans="2:11" x14ac:dyDescent="0.3">
      <c r="B2022" s="179">
        <v>101156</v>
      </c>
      <c r="C2022" s="175" t="s">
        <v>2117</v>
      </c>
      <c r="F2022" s="161"/>
      <c r="K2022" s="176"/>
    </row>
    <row r="2023" spans="2:11" x14ac:dyDescent="0.3">
      <c r="B2023" s="179">
        <v>101164</v>
      </c>
      <c r="C2023" s="175" t="s">
        <v>2118</v>
      </c>
      <c r="F2023" s="161"/>
      <c r="K2023" s="176"/>
    </row>
    <row r="2024" spans="2:11" x14ac:dyDescent="0.3">
      <c r="B2024" s="179">
        <v>87129</v>
      </c>
      <c r="C2024" s="175" t="s">
        <v>2119</v>
      </c>
      <c r="F2024" s="161"/>
      <c r="K2024" s="176"/>
    </row>
    <row r="2025" spans="2:11" x14ac:dyDescent="0.3">
      <c r="B2025" s="179">
        <v>87132</v>
      </c>
      <c r="C2025" s="175" t="s">
        <v>2120</v>
      </c>
      <c r="F2025" s="161"/>
      <c r="K2025" s="176"/>
    </row>
    <row r="2026" spans="2:11" x14ac:dyDescent="0.3">
      <c r="B2026" s="179">
        <v>87346</v>
      </c>
      <c r="C2026" s="175" t="s">
        <v>2121</v>
      </c>
      <c r="F2026" s="161"/>
      <c r="K2026" s="176"/>
    </row>
    <row r="2027" spans="2:11" x14ac:dyDescent="0.3">
      <c r="B2027" s="179">
        <v>87347</v>
      </c>
      <c r="C2027" s="175" t="s">
        <v>2122</v>
      </c>
      <c r="F2027" s="161"/>
      <c r="K2027" s="176"/>
    </row>
    <row r="2028" spans="2:11" x14ac:dyDescent="0.3">
      <c r="B2028" s="179">
        <v>88344</v>
      </c>
      <c r="C2028" s="175" t="s">
        <v>2123</v>
      </c>
      <c r="F2028" s="161"/>
      <c r="K2028" s="176"/>
    </row>
    <row r="2029" spans="2:11" x14ac:dyDescent="0.3">
      <c r="B2029" s="179">
        <v>100720</v>
      </c>
      <c r="C2029" s="175" t="s">
        <v>2124</v>
      </c>
      <c r="F2029" s="161"/>
      <c r="K2029" s="176"/>
    </row>
    <row r="2030" spans="2:11" x14ac:dyDescent="0.3">
      <c r="B2030" s="179">
        <v>101503</v>
      </c>
      <c r="C2030" s="175" t="s">
        <v>2125</v>
      </c>
      <c r="F2030" s="161"/>
      <c r="K2030" s="176"/>
    </row>
    <row r="2031" spans="2:11" x14ac:dyDescent="0.3">
      <c r="B2031" s="179">
        <v>5998</v>
      </c>
      <c r="C2031" s="175" t="s">
        <v>2126</v>
      </c>
      <c r="F2031" s="161"/>
      <c r="K2031" s="176"/>
    </row>
    <row r="2032" spans="2:11" x14ac:dyDescent="0.3">
      <c r="B2032" s="179">
        <v>6011</v>
      </c>
      <c r="C2032" s="175" t="s">
        <v>2127</v>
      </c>
      <c r="F2032" s="161"/>
      <c r="K2032" s="176"/>
    </row>
    <row r="2033" spans="2:11" x14ac:dyDescent="0.3">
      <c r="B2033" s="179">
        <v>7636</v>
      </c>
      <c r="C2033" s="175" t="s">
        <v>2128</v>
      </c>
      <c r="F2033" s="161"/>
      <c r="K2033" s="176"/>
    </row>
    <row r="2034" spans="2:11" x14ac:dyDescent="0.3">
      <c r="B2034" s="179">
        <v>7695</v>
      </c>
      <c r="C2034" s="175" t="s">
        <v>2129</v>
      </c>
      <c r="F2034" s="161"/>
      <c r="K2034" s="176"/>
    </row>
    <row r="2035" spans="2:11" x14ac:dyDescent="0.3">
      <c r="B2035" s="179">
        <v>8055</v>
      </c>
      <c r="C2035" s="175" t="s">
        <v>2130</v>
      </c>
      <c r="F2035" s="161"/>
      <c r="K2035" s="176"/>
    </row>
    <row r="2036" spans="2:11" x14ac:dyDescent="0.3">
      <c r="B2036" s="179">
        <v>12071</v>
      </c>
      <c r="C2036" s="175" t="s">
        <v>2131</v>
      </c>
      <c r="F2036" s="161"/>
      <c r="K2036" s="176"/>
    </row>
    <row r="2037" spans="2:11" x14ac:dyDescent="0.3">
      <c r="B2037" s="179">
        <v>90953</v>
      </c>
      <c r="C2037" s="175" t="s">
        <v>2132</v>
      </c>
      <c r="F2037" s="161"/>
      <c r="K2037" s="176"/>
    </row>
    <row r="2038" spans="2:11" x14ac:dyDescent="0.3">
      <c r="B2038" s="179">
        <v>90954</v>
      </c>
      <c r="C2038" s="175" t="s">
        <v>2133</v>
      </c>
      <c r="F2038" s="161"/>
      <c r="K2038" s="176"/>
    </row>
    <row r="2039" spans="2:11" x14ac:dyDescent="0.3">
      <c r="B2039" s="179">
        <v>100491</v>
      </c>
      <c r="C2039" s="175" t="s">
        <v>2134</v>
      </c>
      <c r="F2039" s="161"/>
      <c r="K2039" s="176"/>
    </row>
    <row r="2040" spans="2:11" x14ac:dyDescent="0.3">
      <c r="B2040" s="179">
        <v>100711</v>
      </c>
      <c r="C2040" s="175" t="s">
        <v>2135</v>
      </c>
      <c r="F2040" s="161"/>
      <c r="K2040" s="176"/>
    </row>
    <row r="2041" spans="2:11" x14ac:dyDescent="0.3">
      <c r="B2041" s="179">
        <v>100719</v>
      </c>
      <c r="C2041" s="175" t="s">
        <v>2136</v>
      </c>
      <c r="F2041" s="161"/>
      <c r="K2041" s="176"/>
    </row>
    <row r="2042" spans="2:11" x14ac:dyDescent="0.3">
      <c r="B2042" s="179">
        <v>100986</v>
      </c>
      <c r="C2042" s="175" t="s">
        <v>2137</v>
      </c>
      <c r="F2042" s="161"/>
      <c r="K2042" s="176"/>
    </row>
    <row r="2043" spans="2:11" x14ac:dyDescent="0.3">
      <c r="B2043" s="179">
        <v>87745</v>
      </c>
      <c r="C2043" s="175" t="s">
        <v>2138</v>
      </c>
      <c r="F2043" s="161"/>
      <c r="K2043" s="176"/>
    </row>
    <row r="2044" spans="2:11" x14ac:dyDescent="0.3">
      <c r="B2044" s="179">
        <v>88968</v>
      </c>
      <c r="C2044" s="175" t="s">
        <v>2139</v>
      </c>
      <c r="F2044" s="161"/>
      <c r="K2044" s="176"/>
    </row>
    <row r="2045" spans="2:11" x14ac:dyDescent="0.3">
      <c r="B2045" s="179">
        <v>89007</v>
      </c>
      <c r="C2045" s="175" t="s">
        <v>2140</v>
      </c>
      <c r="F2045" s="161"/>
      <c r="K2045" s="176"/>
    </row>
    <row r="2046" spans="2:11" x14ac:dyDescent="0.3">
      <c r="B2046" s="179">
        <v>89429</v>
      </c>
      <c r="C2046" s="175" t="s">
        <v>2141</v>
      </c>
      <c r="F2046" s="161"/>
      <c r="K2046" s="176"/>
    </row>
    <row r="2047" spans="2:11" x14ac:dyDescent="0.3">
      <c r="B2047" s="179">
        <v>89748</v>
      </c>
      <c r="C2047" s="175" t="s">
        <v>2142</v>
      </c>
      <c r="F2047" s="161"/>
      <c r="K2047" s="176"/>
    </row>
    <row r="2048" spans="2:11" x14ac:dyDescent="0.3">
      <c r="B2048" s="179">
        <v>90238</v>
      </c>
      <c r="C2048" s="175" t="s">
        <v>2143</v>
      </c>
      <c r="F2048" s="161"/>
      <c r="K2048" s="176"/>
    </row>
    <row r="2049" spans="2:11" x14ac:dyDescent="0.3">
      <c r="B2049" s="179">
        <v>90927</v>
      </c>
      <c r="C2049" s="175" t="s">
        <v>2144</v>
      </c>
      <c r="F2049" s="161"/>
      <c r="K2049" s="176"/>
    </row>
    <row r="2050" spans="2:11" x14ac:dyDescent="0.3">
      <c r="B2050" s="179">
        <v>100568</v>
      </c>
      <c r="C2050" s="175" t="s">
        <v>2145</v>
      </c>
      <c r="F2050" s="161"/>
      <c r="K2050" s="176"/>
    </row>
    <row r="2051" spans="2:11" x14ac:dyDescent="0.3">
      <c r="B2051" s="179">
        <v>100710</v>
      </c>
      <c r="C2051" s="175" t="s">
        <v>2146</v>
      </c>
      <c r="F2051" s="161"/>
      <c r="K2051" s="176"/>
    </row>
    <row r="2052" spans="2:11" x14ac:dyDescent="0.3">
      <c r="B2052" s="179">
        <v>100814</v>
      </c>
      <c r="C2052" s="175" t="s">
        <v>2147</v>
      </c>
      <c r="F2052" s="161"/>
      <c r="K2052" s="176"/>
    </row>
    <row r="2053" spans="2:11" x14ac:dyDescent="0.3">
      <c r="B2053" s="179">
        <v>9568</v>
      </c>
      <c r="C2053" s="175" t="s">
        <v>2148</v>
      </c>
      <c r="F2053" s="161"/>
      <c r="K2053" s="176"/>
    </row>
    <row r="2054" spans="2:11" x14ac:dyDescent="0.3">
      <c r="B2054" s="179">
        <v>13885</v>
      </c>
      <c r="C2054" s="175" t="s">
        <v>2149</v>
      </c>
      <c r="F2054" s="161"/>
      <c r="K2054" s="176"/>
    </row>
    <row r="2055" spans="2:11" x14ac:dyDescent="0.3">
      <c r="B2055" s="179">
        <v>20265</v>
      </c>
      <c r="C2055" s="175" t="s">
        <v>2150</v>
      </c>
      <c r="F2055" s="161"/>
      <c r="K2055" s="176"/>
    </row>
    <row r="2056" spans="2:11" x14ac:dyDescent="0.3">
      <c r="B2056" s="179">
        <v>90982</v>
      </c>
      <c r="C2056" s="175" t="s">
        <v>2151</v>
      </c>
      <c r="F2056" s="161"/>
      <c r="K2056" s="176"/>
    </row>
    <row r="2057" spans="2:11" x14ac:dyDescent="0.3">
      <c r="B2057" s="179">
        <v>101030</v>
      </c>
      <c r="C2057" s="175" t="s">
        <v>2152</v>
      </c>
      <c r="F2057" s="161"/>
      <c r="K2057" s="176"/>
    </row>
    <row r="2058" spans="2:11" x14ac:dyDescent="0.3">
      <c r="B2058" s="179">
        <v>101031</v>
      </c>
      <c r="C2058" s="175" t="s">
        <v>2153</v>
      </c>
      <c r="F2058" s="161"/>
      <c r="K2058" s="176"/>
    </row>
    <row r="2059" spans="2:11" x14ac:dyDescent="0.3">
      <c r="B2059" s="179">
        <v>101033</v>
      </c>
      <c r="C2059" s="175" t="s">
        <v>2154</v>
      </c>
      <c r="F2059" s="161"/>
      <c r="K2059" s="176"/>
    </row>
    <row r="2060" spans="2:11" x14ac:dyDescent="0.3">
      <c r="B2060" s="179">
        <v>101233</v>
      </c>
      <c r="C2060" s="175" t="s">
        <v>2155</v>
      </c>
      <c r="F2060" s="161"/>
      <c r="K2060" s="176"/>
    </row>
    <row r="2061" spans="2:11" x14ac:dyDescent="0.3">
      <c r="B2061" s="179">
        <v>101435</v>
      </c>
      <c r="C2061" s="175" t="s">
        <v>2156</v>
      </c>
      <c r="F2061" s="161"/>
      <c r="K2061" s="176"/>
    </row>
    <row r="2062" spans="2:11" x14ac:dyDescent="0.3">
      <c r="B2062" s="179">
        <v>101454</v>
      </c>
      <c r="C2062" s="175" t="s">
        <v>2157</v>
      </c>
      <c r="F2062" s="161"/>
      <c r="K2062" s="176"/>
    </row>
    <row r="2063" spans="2:11" x14ac:dyDescent="0.3">
      <c r="B2063" s="179">
        <v>101590</v>
      </c>
      <c r="C2063" s="175" t="s">
        <v>2158</v>
      </c>
      <c r="F2063" s="161"/>
      <c r="K2063" s="176"/>
    </row>
    <row r="2064" spans="2:11" x14ac:dyDescent="0.3">
      <c r="B2064" s="179">
        <v>85789</v>
      </c>
      <c r="C2064" s="175" t="s">
        <v>2159</v>
      </c>
      <c r="F2064" s="161"/>
      <c r="K2064" s="176"/>
    </row>
    <row r="2065" spans="2:11" x14ac:dyDescent="0.3">
      <c r="B2065" s="179">
        <v>85984</v>
      </c>
      <c r="C2065" s="175" t="s">
        <v>2160</v>
      </c>
      <c r="F2065" s="161"/>
      <c r="K2065" s="176"/>
    </row>
    <row r="2066" spans="2:11" x14ac:dyDescent="0.3">
      <c r="B2066" s="179">
        <v>86628</v>
      </c>
      <c r="C2066" s="175" t="s">
        <v>2161</v>
      </c>
      <c r="F2066" s="161"/>
      <c r="K2066" s="176"/>
    </row>
    <row r="2067" spans="2:11" x14ac:dyDescent="0.3">
      <c r="B2067" s="179">
        <v>86629</v>
      </c>
      <c r="C2067" s="175" t="s">
        <v>2162</v>
      </c>
      <c r="F2067" s="161"/>
      <c r="K2067" s="176"/>
    </row>
    <row r="2068" spans="2:11" x14ac:dyDescent="0.3">
      <c r="B2068" s="179">
        <v>86989</v>
      </c>
      <c r="C2068" s="175" t="s">
        <v>2163</v>
      </c>
      <c r="F2068" s="161"/>
      <c r="K2068" s="176"/>
    </row>
    <row r="2069" spans="2:11" x14ac:dyDescent="0.3">
      <c r="B2069" s="179">
        <v>87195</v>
      </c>
      <c r="C2069" s="175" t="s">
        <v>2164</v>
      </c>
      <c r="F2069" s="161"/>
      <c r="K2069" s="176"/>
    </row>
    <row r="2070" spans="2:11" x14ac:dyDescent="0.3">
      <c r="B2070" s="179">
        <v>87609</v>
      </c>
      <c r="C2070" s="175" t="s">
        <v>2165</v>
      </c>
      <c r="F2070" s="161"/>
      <c r="K2070" s="176"/>
    </row>
    <row r="2071" spans="2:11" x14ac:dyDescent="0.3">
      <c r="B2071" s="179">
        <v>88219</v>
      </c>
      <c r="C2071" s="175" t="s">
        <v>2166</v>
      </c>
      <c r="F2071" s="161"/>
      <c r="K2071" s="176"/>
    </row>
    <row r="2072" spans="2:11" x14ac:dyDescent="0.3">
      <c r="B2072" s="179">
        <v>88592</v>
      </c>
      <c r="C2072" s="175" t="s">
        <v>2167</v>
      </c>
      <c r="F2072" s="161"/>
      <c r="K2072" s="176"/>
    </row>
    <row r="2073" spans="2:11" x14ac:dyDescent="0.3">
      <c r="B2073" s="179">
        <v>89914</v>
      </c>
      <c r="C2073" s="175" t="s">
        <v>2168</v>
      </c>
      <c r="F2073" s="161"/>
      <c r="K2073" s="176"/>
    </row>
    <row r="2074" spans="2:11" x14ac:dyDescent="0.3">
      <c r="B2074" s="179">
        <v>90204</v>
      </c>
      <c r="C2074" s="175" t="s">
        <v>2169</v>
      </c>
      <c r="F2074" s="161"/>
      <c r="K2074" s="176"/>
    </row>
    <row r="2075" spans="2:11" x14ac:dyDescent="0.3">
      <c r="B2075" s="179">
        <v>90348</v>
      </c>
      <c r="C2075" s="175" t="s">
        <v>2170</v>
      </c>
      <c r="F2075" s="161"/>
      <c r="K2075" s="176"/>
    </row>
    <row r="2076" spans="2:11" x14ac:dyDescent="0.3">
      <c r="B2076" s="179">
        <v>90358</v>
      </c>
      <c r="C2076" s="175" t="s">
        <v>2171</v>
      </c>
      <c r="F2076" s="161"/>
      <c r="K2076" s="176"/>
    </row>
    <row r="2077" spans="2:11" x14ac:dyDescent="0.3">
      <c r="B2077" s="179">
        <v>90359</v>
      </c>
      <c r="C2077" s="175" t="s">
        <v>2172</v>
      </c>
      <c r="F2077" s="161"/>
      <c r="K2077" s="176"/>
    </row>
    <row r="2078" spans="2:11" x14ac:dyDescent="0.3">
      <c r="B2078" s="179">
        <v>90690</v>
      </c>
      <c r="C2078" s="175" t="s">
        <v>2173</v>
      </c>
      <c r="F2078" s="161"/>
      <c r="K2078" s="176"/>
    </row>
    <row r="2079" spans="2:11" x14ac:dyDescent="0.3">
      <c r="B2079" s="179">
        <v>90766</v>
      </c>
      <c r="C2079" s="175" t="s">
        <v>2174</v>
      </c>
      <c r="F2079" s="161"/>
      <c r="K2079" s="176"/>
    </row>
    <row r="2080" spans="2:11" x14ac:dyDescent="0.3">
      <c r="B2080" s="179">
        <v>90767</v>
      </c>
      <c r="C2080" s="175" t="s">
        <v>2175</v>
      </c>
      <c r="F2080" s="161"/>
      <c r="K2080" s="176"/>
    </row>
    <row r="2081" spans="2:11" x14ac:dyDescent="0.3">
      <c r="B2081" s="179">
        <v>100487</v>
      </c>
      <c r="C2081" s="175" t="s">
        <v>1090</v>
      </c>
      <c r="F2081" s="161"/>
      <c r="K2081" s="176"/>
    </row>
    <row r="2082" spans="2:11" x14ac:dyDescent="0.3">
      <c r="B2082" s="179">
        <v>101271</v>
      </c>
      <c r="C2082" s="175" t="s">
        <v>2176</v>
      </c>
      <c r="F2082" s="161"/>
      <c r="K2082" s="176"/>
    </row>
    <row r="2083" spans="2:11" x14ac:dyDescent="0.3">
      <c r="B2083" s="179">
        <v>101434</v>
      </c>
      <c r="C2083" s="175" t="s">
        <v>2177</v>
      </c>
      <c r="F2083" s="161"/>
      <c r="K2083" s="176"/>
    </row>
    <row r="2084" spans="2:11" x14ac:dyDescent="0.3">
      <c r="B2084" s="179">
        <v>1842</v>
      </c>
      <c r="C2084" s="175" t="s">
        <v>2178</v>
      </c>
      <c r="F2084" s="161"/>
      <c r="K2084" s="176"/>
    </row>
    <row r="2085" spans="2:11" x14ac:dyDescent="0.3">
      <c r="B2085" s="179">
        <v>2755</v>
      </c>
      <c r="C2085" s="175" t="s">
        <v>2179</v>
      </c>
      <c r="F2085" s="161"/>
      <c r="K2085" s="176"/>
    </row>
    <row r="2086" spans="2:11" x14ac:dyDescent="0.3">
      <c r="B2086" s="179">
        <v>2793</v>
      </c>
      <c r="C2086" s="175" t="s">
        <v>2180</v>
      </c>
      <c r="F2086" s="161"/>
      <c r="K2086" s="176"/>
    </row>
    <row r="2087" spans="2:11" x14ac:dyDescent="0.3">
      <c r="B2087" s="179">
        <v>2904</v>
      </c>
      <c r="C2087" s="175" t="s">
        <v>2181</v>
      </c>
      <c r="F2087" s="161"/>
      <c r="K2087" s="176"/>
    </row>
    <row r="2088" spans="2:11" x14ac:dyDescent="0.3">
      <c r="B2088" s="179">
        <v>4185</v>
      </c>
      <c r="C2088" s="175" t="s">
        <v>2182</v>
      </c>
      <c r="F2088" s="161"/>
      <c r="K2088" s="176"/>
    </row>
    <row r="2089" spans="2:11" x14ac:dyDescent="0.3">
      <c r="B2089" s="179">
        <v>5404</v>
      </c>
      <c r="C2089" s="175" t="s">
        <v>2183</v>
      </c>
      <c r="F2089" s="161"/>
      <c r="K2089" s="176"/>
    </row>
    <row r="2090" spans="2:11" x14ac:dyDescent="0.3">
      <c r="B2090" s="179">
        <v>82659</v>
      </c>
      <c r="C2090" s="175" t="s">
        <v>2184</v>
      </c>
      <c r="F2090" s="161"/>
      <c r="K2090" s="176"/>
    </row>
    <row r="2091" spans="2:11" x14ac:dyDescent="0.3">
      <c r="B2091" s="179">
        <v>90357</v>
      </c>
      <c r="C2091" s="175" t="s">
        <v>2185</v>
      </c>
      <c r="F2091" s="161"/>
      <c r="K2091" s="176"/>
    </row>
    <row r="2092" spans="2:11" x14ac:dyDescent="0.3">
      <c r="B2092" s="179">
        <v>90691</v>
      </c>
      <c r="C2092" s="175" t="s">
        <v>2186</v>
      </c>
      <c r="F2092" s="161"/>
      <c r="K2092" s="176"/>
    </row>
    <row r="2093" spans="2:11" x14ac:dyDescent="0.3">
      <c r="B2093" s="179">
        <v>90693</v>
      </c>
      <c r="C2093" s="175" t="s">
        <v>2187</v>
      </c>
      <c r="F2093" s="161"/>
      <c r="K2093" s="176"/>
    </row>
    <row r="2094" spans="2:11" x14ac:dyDescent="0.3">
      <c r="B2094" s="179">
        <v>100486</v>
      </c>
      <c r="C2094" s="175" t="s">
        <v>2188</v>
      </c>
      <c r="F2094" s="161"/>
      <c r="K2094" s="176"/>
    </row>
    <row r="2095" spans="2:11" x14ac:dyDescent="0.3">
      <c r="B2095" s="179">
        <v>100488</v>
      </c>
      <c r="C2095" s="175" t="s">
        <v>2189</v>
      </c>
      <c r="F2095" s="161"/>
      <c r="K2095" s="176"/>
    </row>
    <row r="2096" spans="2:11" x14ac:dyDescent="0.3">
      <c r="B2096" s="179">
        <v>100892</v>
      </c>
      <c r="C2096" s="175" t="s">
        <v>2190</v>
      </c>
      <c r="F2096" s="161"/>
      <c r="K2096" s="176"/>
    </row>
    <row r="2097" spans="2:11" x14ac:dyDescent="0.3">
      <c r="B2097" s="179">
        <v>100958</v>
      </c>
      <c r="C2097" s="175" t="s">
        <v>2191</v>
      </c>
      <c r="F2097" s="161"/>
      <c r="K2097" s="176"/>
    </row>
    <row r="2098" spans="2:11" x14ac:dyDescent="0.3">
      <c r="B2098" s="179">
        <v>101270</v>
      </c>
      <c r="C2098" s="175" t="s">
        <v>2192</v>
      </c>
      <c r="F2098" s="161"/>
      <c r="K2098" s="176"/>
    </row>
    <row r="2099" spans="2:11" x14ac:dyDescent="0.3">
      <c r="B2099" s="179">
        <v>101325</v>
      </c>
      <c r="C2099" s="175" t="s">
        <v>2193</v>
      </c>
      <c r="F2099" s="161"/>
      <c r="K2099" s="176"/>
    </row>
    <row r="2100" spans="2:11" x14ac:dyDescent="0.3">
      <c r="B2100" s="179">
        <v>87216</v>
      </c>
      <c r="C2100" s="175" t="s">
        <v>2194</v>
      </c>
      <c r="F2100" s="161"/>
      <c r="K2100" s="176"/>
    </row>
    <row r="2101" spans="2:11" x14ac:dyDescent="0.3">
      <c r="B2101" s="179">
        <v>87218</v>
      </c>
      <c r="C2101" s="175" t="s">
        <v>2195</v>
      </c>
      <c r="F2101" s="161"/>
      <c r="K2101" s="176"/>
    </row>
    <row r="2102" spans="2:11" x14ac:dyDescent="0.3">
      <c r="B2102" s="179">
        <v>89442</v>
      </c>
      <c r="C2102" s="175" t="s">
        <v>2196</v>
      </c>
      <c r="F2102" s="161"/>
      <c r="K2102" s="176"/>
    </row>
    <row r="2103" spans="2:11" x14ac:dyDescent="0.3">
      <c r="B2103" s="179">
        <v>89695</v>
      </c>
      <c r="C2103" s="175" t="s">
        <v>2197</v>
      </c>
      <c r="F2103" s="161"/>
      <c r="K2103" s="176"/>
    </row>
    <row r="2104" spans="2:11" x14ac:dyDescent="0.3">
      <c r="B2104" s="179">
        <v>89749</v>
      </c>
      <c r="C2104" s="175" t="s">
        <v>2198</v>
      </c>
      <c r="F2104" s="161"/>
      <c r="K2104" s="176"/>
    </row>
    <row r="2105" spans="2:11" x14ac:dyDescent="0.3">
      <c r="B2105" s="179">
        <v>90022</v>
      </c>
      <c r="C2105" s="175" t="s">
        <v>2199</v>
      </c>
      <c r="F2105" s="161"/>
      <c r="K2105" s="176"/>
    </row>
    <row r="2106" spans="2:11" x14ac:dyDescent="0.3">
      <c r="B2106" s="179">
        <v>90327</v>
      </c>
      <c r="C2106" s="175" t="s">
        <v>2200</v>
      </c>
      <c r="F2106" s="161"/>
      <c r="K2106" s="176"/>
    </row>
    <row r="2107" spans="2:11" x14ac:dyDescent="0.3">
      <c r="B2107" s="179">
        <v>90328</v>
      </c>
      <c r="C2107" s="175" t="s">
        <v>2201</v>
      </c>
      <c r="F2107" s="161"/>
      <c r="K2107" s="176"/>
    </row>
    <row r="2108" spans="2:11" x14ac:dyDescent="0.3">
      <c r="B2108" s="179">
        <v>100648</v>
      </c>
      <c r="C2108" s="175" t="s">
        <v>2202</v>
      </c>
      <c r="F2108" s="161"/>
      <c r="K2108" s="176"/>
    </row>
    <row r="2109" spans="2:11" x14ac:dyDescent="0.3">
      <c r="B2109" s="179">
        <v>101084</v>
      </c>
      <c r="C2109" s="175" t="s">
        <v>2203</v>
      </c>
      <c r="F2109" s="161"/>
      <c r="K2109" s="176"/>
    </row>
    <row r="2110" spans="2:11" x14ac:dyDescent="0.3">
      <c r="B2110" s="179">
        <v>101416</v>
      </c>
      <c r="C2110" s="175" t="s">
        <v>2204</v>
      </c>
      <c r="F2110" s="161"/>
      <c r="K2110" s="176"/>
    </row>
    <row r="2111" spans="2:11" x14ac:dyDescent="0.3">
      <c r="B2111" s="179">
        <v>953</v>
      </c>
      <c r="C2111" s="175" t="s">
        <v>2205</v>
      </c>
      <c r="F2111" s="161"/>
      <c r="K2111" s="176"/>
    </row>
    <row r="2112" spans="2:11" x14ac:dyDescent="0.3">
      <c r="B2112" s="179">
        <v>1809</v>
      </c>
      <c r="C2112" s="175" t="s">
        <v>2206</v>
      </c>
      <c r="F2112" s="161"/>
      <c r="K2112" s="176"/>
    </row>
    <row r="2113" spans="2:11" x14ac:dyDescent="0.3">
      <c r="B2113" s="179">
        <v>2072</v>
      </c>
      <c r="C2113" s="175" t="s">
        <v>2207</v>
      </c>
      <c r="F2113" s="161"/>
      <c r="K2113" s="176"/>
    </row>
    <row r="2114" spans="2:11" x14ac:dyDescent="0.3">
      <c r="B2114" s="179">
        <v>2279</v>
      </c>
      <c r="C2114" s="175" t="s">
        <v>2208</v>
      </c>
      <c r="F2114" s="161"/>
      <c r="K2114" s="176"/>
    </row>
    <row r="2115" spans="2:11" x14ac:dyDescent="0.3">
      <c r="B2115" s="179">
        <v>2376</v>
      </c>
      <c r="C2115" s="175" t="s">
        <v>2209</v>
      </c>
      <c r="F2115" s="161"/>
      <c r="K2115" s="176"/>
    </row>
    <row r="2116" spans="2:11" x14ac:dyDescent="0.3">
      <c r="B2116" s="179">
        <v>2822</v>
      </c>
      <c r="C2116" s="175" t="s">
        <v>2210</v>
      </c>
      <c r="F2116" s="161"/>
      <c r="K2116" s="176"/>
    </row>
    <row r="2117" spans="2:11" x14ac:dyDescent="0.3">
      <c r="B2117" s="179">
        <v>3243</v>
      </c>
      <c r="C2117" s="175" t="s">
        <v>2211</v>
      </c>
      <c r="F2117" s="161"/>
      <c r="K2117" s="176"/>
    </row>
    <row r="2118" spans="2:11" x14ac:dyDescent="0.3">
      <c r="B2118" s="179">
        <v>5492</v>
      </c>
      <c r="C2118" s="175" t="s">
        <v>2212</v>
      </c>
      <c r="F2118" s="161"/>
      <c r="K2118" s="176"/>
    </row>
    <row r="2119" spans="2:11" x14ac:dyDescent="0.3">
      <c r="B2119" s="179">
        <v>90709</v>
      </c>
      <c r="C2119" s="175" t="s">
        <v>2213</v>
      </c>
      <c r="F2119" s="161"/>
      <c r="K2119" s="176"/>
    </row>
    <row r="2120" spans="2:11" x14ac:dyDescent="0.3">
      <c r="B2120" s="179">
        <v>100659</v>
      </c>
      <c r="C2120" s="175" t="s">
        <v>2214</v>
      </c>
      <c r="F2120" s="161"/>
      <c r="K2120" s="176"/>
    </row>
    <row r="2121" spans="2:11" x14ac:dyDescent="0.3">
      <c r="B2121" s="179">
        <v>101135</v>
      </c>
      <c r="C2121" s="175" t="s">
        <v>2215</v>
      </c>
      <c r="F2121" s="161"/>
      <c r="K2121" s="176"/>
    </row>
    <row r="2122" spans="2:11" x14ac:dyDescent="0.3">
      <c r="B2122" s="179">
        <v>85628</v>
      </c>
      <c r="C2122" s="175" t="s">
        <v>2216</v>
      </c>
      <c r="F2122" s="161"/>
      <c r="K2122" s="176"/>
    </row>
    <row r="2123" spans="2:11" x14ac:dyDescent="0.3">
      <c r="B2123" s="179">
        <v>85666</v>
      </c>
      <c r="C2123" s="175" t="s">
        <v>2217</v>
      </c>
      <c r="F2123" s="161"/>
      <c r="K2123" s="176"/>
    </row>
    <row r="2124" spans="2:11" x14ac:dyDescent="0.3">
      <c r="B2124" s="179">
        <v>85667</v>
      </c>
      <c r="C2124" s="175" t="s">
        <v>2218</v>
      </c>
      <c r="F2124" s="161"/>
      <c r="K2124" s="176"/>
    </row>
    <row r="2125" spans="2:11" x14ac:dyDescent="0.3">
      <c r="B2125" s="179">
        <v>86422</v>
      </c>
      <c r="C2125" s="175" t="s">
        <v>2219</v>
      </c>
      <c r="F2125" s="161"/>
      <c r="K2125" s="176"/>
    </row>
    <row r="2126" spans="2:11" x14ac:dyDescent="0.3">
      <c r="B2126" s="179">
        <v>86424</v>
      </c>
      <c r="C2126" s="175" t="s">
        <v>2220</v>
      </c>
      <c r="F2126" s="161"/>
      <c r="K2126" s="176"/>
    </row>
    <row r="2127" spans="2:11" x14ac:dyDescent="0.3">
      <c r="B2127" s="179">
        <v>86889</v>
      </c>
      <c r="C2127" s="175" t="s">
        <v>2221</v>
      </c>
      <c r="F2127" s="161"/>
      <c r="K2127" s="176"/>
    </row>
    <row r="2128" spans="2:11" x14ac:dyDescent="0.3">
      <c r="B2128" s="179">
        <v>86977</v>
      </c>
      <c r="C2128" s="175" t="s">
        <v>2222</v>
      </c>
      <c r="F2128" s="161"/>
      <c r="K2128" s="176"/>
    </row>
    <row r="2129" spans="2:11" x14ac:dyDescent="0.3">
      <c r="B2129" s="179">
        <v>86983</v>
      </c>
      <c r="C2129" s="175" t="s">
        <v>2223</v>
      </c>
      <c r="F2129" s="161"/>
      <c r="K2129" s="176"/>
    </row>
    <row r="2130" spans="2:11" x14ac:dyDescent="0.3">
      <c r="B2130" s="179">
        <v>87027</v>
      </c>
      <c r="C2130" s="175" t="s">
        <v>2224</v>
      </c>
      <c r="F2130" s="161"/>
      <c r="K2130" s="176"/>
    </row>
    <row r="2131" spans="2:11" x14ac:dyDescent="0.3">
      <c r="B2131" s="179">
        <v>87463</v>
      </c>
      <c r="C2131" s="175" t="s">
        <v>2225</v>
      </c>
      <c r="F2131" s="161"/>
      <c r="K2131" s="176"/>
    </row>
    <row r="2132" spans="2:11" x14ac:dyDescent="0.3">
      <c r="B2132" s="179">
        <v>87569</v>
      </c>
      <c r="C2132" s="175" t="s">
        <v>2226</v>
      </c>
      <c r="F2132" s="161"/>
      <c r="K2132" s="176"/>
    </row>
    <row r="2133" spans="2:11" x14ac:dyDescent="0.3">
      <c r="B2133" s="179">
        <v>87763</v>
      </c>
      <c r="C2133" s="175" t="s">
        <v>2227</v>
      </c>
      <c r="F2133" s="161"/>
      <c r="K2133" s="176"/>
    </row>
    <row r="2134" spans="2:11" x14ac:dyDescent="0.3">
      <c r="B2134" s="179">
        <v>88157</v>
      </c>
      <c r="C2134" s="175" t="s">
        <v>2228</v>
      </c>
      <c r="F2134" s="161"/>
      <c r="K2134" s="176"/>
    </row>
    <row r="2135" spans="2:11" x14ac:dyDescent="0.3">
      <c r="B2135" s="179">
        <v>88687</v>
      </c>
      <c r="C2135" s="175" t="s">
        <v>2229</v>
      </c>
      <c r="F2135" s="161"/>
      <c r="K2135" s="176"/>
    </row>
    <row r="2136" spans="2:11" x14ac:dyDescent="0.3">
      <c r="B2136" s="179">
        <v>88732</v>
      </c>
      <c r="C2136" s="175" t="s">
        <v>2230</v>
      </c>
      <c r="F2136" s="161"/>
      <c r="K2136" s="176"/>
    </row>
    <row r="2137" spans="2:11" x14ac:dyDescent="0.3">
      <c r="B2137" s="179">
        <v>89772</v>
      </c>
      <c r="C2137" s="175" t="s">
        <v>2231</v>
      </c>
      <c r="F2137" s="161"/>
      <c r="K2137" s="176"/>
    </row>
    <row r="2138" spans="2:11" x14ac:dyDescent="0.3">
      <c r="B2138" s="179">
        <v>101499</v>
      </c>
      <c r="C2138" s="175" t="s">
        <v>2232</v>
      </c>
      <c r="F2138" s="161"/>
      <c r="K2138" s="176"/>
    </row>
    <row r="2139" spans="2:11" x14ac:dyDescent="0.3">
      <c r="B2139" s="179">
        <v>2260</v>
      </c>
      <c r="C2139" s="175" t="s">
        <v>2233</v>
      </c>
      <c r="F2139" s="161"/>
      <c r="K2139" s="176"/>
    </row>
    <row r="2140" spans="2:11" x14ac:dyDescent="0.3">
      <c r="B2140" s="179">
        <v>2436</v>
      </c>
      <c r="C2140" s="175" t="s">
        <v>2234</v>
      </c>
      <c r="F2140" s="161"/>
      <c r="K2140" s="176"/>
    </row>
    <row r="2141" spans="2:11" x14ac:dyDescent="0.3">
      <c r="B2141" s="179">
        <v>2791</v>
      </c>
      <c r="C2141" s="175" t="s">
        <v>2235</v>
      </c>
      <c r="F2141" s="161"/>
      <c r="K2141" s="176"/>
    </row>
    <row r="2142" spans="2:11" x14ac:dyDescent="0.3">
      <c r="B2142" s="179">
        <v>4144</v>
      </c>
      <c r="C2142" s="175" t="s">
        <v>2236</v>
      </c>
      <c r="F2142" s="161"/>
      <c r="K2142" s="176"/>
    </row>
    <row r="2143" spans="2:11" x14ac:dyDescent="0.3">
      <c r="B2143" s="179">
        <v>4772</v>
      </c>
      <c r="C2143" s="175" t="s">
        <v>2237</v>
      </c>
      <c r="F2143" s="161"/>
      <c r="K2143" s="176"/>
    </row>
    <row r="2144" spans="2:11" x14ac:dyDescent="0.3">
      <c r="B2144" s="179">
        <v>90362</v>
      </c>
      <c r="C2144" s="175" t="s">
        <v>2238</v>
      </c>
      <c r="F2144" s="161"/>
      <c r="K2144" s="176"/>
    </row>
    <row r="2145" spans="2:11" x14ac:dyDescent="0.3">
      <c r="B2145" s="179">
        <v>101456</v>
      </c>
      <c r="C2145" s="175" t="s">
        <v>2239</v>
      </c>
      <c r="F2145" s="161"/>
      <c r="K2145" s="176"/>
    </row>
    <row r="2146" spans="2:11" x14ac:dyDescent="0.3">
      <c r="B2146" s="179">
        <v>101458</v>
      </c>
      <c r="C2146" s="175" t="s">
        <v>2240</v>
      </c>
      <c r="F2146" s="161"/>
      <c r="K2146" s="176"/>
    </row>
    <row r="2147" spans="2:11" x14ac:dyDescent="0.3">
      <c r="B2147" s="179">
        <v>85862</v>
      </c>
      <c r="C2147" s="175" t="s">
        <v>2241</v>
      </c>
      <c r="F2147" s="161"/>
      <c r="K2147" s="176"/>
    </row>
    <row r="2148" spans="2:11" x14ac:dyDescent="0.3">
      <c r="B2148" s="179">
        <v>86165</v>
      </c>
      <c r="C2148" s="175" t="s">
        <v>2242</v>
      </c>
      <c r="F2148" s="161"/>
      <c r="K2148" s="176"/>
    </row>
    <row r="2149" spans="2:11" x14ac:dyDescent="0.3">
      <c r="B2149" s="179">
        <v>86277</v>
      </c>
      <c r="C2149" s="175" t="s">
        <v>2243</v>
      </c>
      <c r="F2149" s="161"/>
      <c r="K2149" s="176"/>
    </row>
    <row r="2150" spans="2:11" x14ac:dyDescent="0.3">
      <c r="B2150" s="179">
        <v>87066</v>
      </c>
      <c r="C2150" s="175" t="s">
        <v>2244</v>
      </c>
      <c r="F2150" s="161"/>
      <c r="K2150" s="176"/>
    </row>
    <row r="2151" spans="2:11" x14ac:dyDescent="0.3">
      <c r="B2151" s="179">
        <v>88043</v>
      </c>
      <c r="C2151" s="175" t="s">
        <v>2245</v>
      </c>
      <c r="F2151" s="161"/>
      <c r="K2151" s="176"/>
    </row>
    <row r="2152" spans="2:11" x14ac:dyDescent="0.3">
      <c r="B2152" s="179">
        <v>89196</v>
      </c>
      <c r="C2152" s="175" t="s">
        <v>2246</v>
      </c>
      <c r="F2152" s="161"/>
      <c r="K2152" s="176"/>
    </row>
    <row r="2153" spans="2:11" x14ac:dyDescent="0.3">
      <c r="B2153" s="179">
        <v>89198</v>
      </c>
      <c r="C2153" s="175" t="s">
        <v>2247</v>
      </c>
      <c r="F2153" s="161"/>
      <c r="K2153" s="176"/>
    </row>
    <row r="2154" spans="2:11" x14ac:dyDescent="0.3">
      <c r="B2154" s="179">
        <v>91155</v>
      </c>
      <c r="C2154" s="175" t="s">
        <v>2248</v>
      </c>
      <c r="F2154" s="161"/>
      <c r="K2154" s="176"/>
    </row>
    <row r="2155" spans="2:11" x14ac:dyDescent="0.3">
      <c r="B2155" s="179">
        <v>100830</v>
      </c>
      <c r="C2155" s="175" t="s">
        <v>2249</v>
      </c>
      <c r="F2155" s="161"/>
      <c r="K2155" s="176"/>
    </row>
    <row r="2156" spans="2:11" x14ac:dyDescent="0.3">
      <c r="B2156" s="179">
        <v>100895</v>
      </c>
      <c r="C2156" s="175" t="s">
        <v>2250</v>
      </c>
      <c r="F2156" s="161"/>
      <c r="K2156" s="176"/>
    </row>
    <row r="2157" spans="2:11" x14ac:dyDescent="0.3">
      <c r="B2157" s="179">
        <v>1855</v>
      </c>
      <c r="C2157" s="175" t="s">
        <v>2251</v>
      </c>
      <c r="F2157" s="161"/>
      <c r="K2157" s="176"/>
    </row>
    <row r="2158" spans="2:11" x14ac:dyDescent="0.3">
      <c r="B2158" s="179">
        <v>2848</v>
      </c>
      <c r="C2158" s="175" t="s">
        <v>2252</v>
      </c>
      <c r="F2158" s="161"/>
      <c r="K2158" s="176"/>
    </row>
    <row r="2159" spans="2:11" x14ac:dyDescent="0.3">
      <c r="B2159" s="179">
        <v>5967</v>
      </c>
      <c r="C2159" s="175" t="s">
        <v>2253</v>
      </c>
      <c r="F2159" s="161"/>
      <c r="K2159" s="176"/>
    </row>
    <row r="2160" spans="2:11" x14ac:dyDescent="0.3">
      <c r="B2160" s="179">
        <v>7635</v>
      </c>
      <c r="C2160" s="175" t="s">
        <v>2254</v>
      </c>
      <c r="F2160" s="161"/>
      <c r="K2160" s="176"/>
    </row>
    <row r="2161" spans="2:11" x14ac:dyDescent="0.3">
      <c r="B2161" s="179">
        <v>8158</v>
      </c>
      <c r="C2161" s="175" t="s">
        <v>2255</v>
      </c>
      <c r="F2161" s="161"/>
      <c r="K2161" s="176"/>
    </row>
    <row r="2162" spans="2:11" x14ac:dyDescent="0.3">
      <c r="B2162" s="179">
        <v>8543</v>
      </c>
      <c r="C2162" s="175" t="s">
        <v>2256</v>
      </c>
      <c r="F2162" s="161"/>
      <c r="K2162" s="176"/>
    </row>
    <row r="2163" spans="2:11" x14ac:dyDescent="0.3">
      <c r="B2163" s="179">
        <v>8606</v>
      </c>
      <c r="C2163" s="175" t="s">
        <v>2257</v>
      </c>
      <c r="F2163" s="161"/>
      <c r="K2163" s="176"/>
    </row>
    <row r="2164" spans="2:11" x14ac:dyDescent="0.3">
      <c r="B2164" s="179">
        <v>91073</v>
      </c>
      <c r="C2164" s="175" t="s">
        <v>2258</v>
      </c>
      <c r="F2164" s="161"/>
      <c r="K2164" s="176"/>
    </row>
    <row r="2165" spans="2:11" x14ac:dyDescent="0.3">
      <c r="B2165" s="179">
        <v>91156</v>
      </c>
      <c r="C2165" s="175" t="s">
        <v>2259</v>
      </c>
      <c r="F2165" s="161"/>
      <c r="K2165" s="176"/>
    </row>
    <row r="2166" spans="2:11" x14ac:dyDescent="0.3">
      <c r="B2166" s="179">
        <v>100831</v>
      </c>
      <c r="C2166" s="175" t="s">
        <v>2260</v>
      </c>
      <c r="F2166" s="161"/>
      <c r="K2166" s="176"/>
    </row>
    <row r="2167" spans="2:11" x14ac:dyDescent="0.3">
      <c r="B2167" s="179">
        <v>100889</v>
      </c>
      <c r="C2167" s="175" t="s">
        <v>2261</v>
      </c>
      <c r="F2167" s="161"/>
      <c r="K2167" s="176"/>
    </row>
    <row r="2168" spans="2:11" x14ac:dyDescent="0.3">
      <c r="B2168" s="179">
        <v>101128</v>
      </c>
      <c r="C2168" s="175" t="s">
        <v>2262</v>
      </c>
      <c r="F2168" s="161"/>
      <c r="K2168" s="176"/>
    </row>
    <row r="2169" spans="2:11" x14ac:dyDescent="0.3">
      <c r="B2169" s="179">
        <v>101130</v>
      </c>
      <c r="C2169" s="175" t="s">
        <v>2263</v>
      </c>
      <c r="F2169" s="161"/>
      <c r="K2169" s="176"/>
    </row>
    <row r="2170" spans="2:11" x14ac:dyDescent="0.3">
      <c r="B2170" s="179">
        <v>83416</v>
      </c>
      <c r="C2170" s="175" t="s">
        <v>2264</v>
      </c>
      <c r="F2170" s="161"/>
      <c r="K2170" s="176"/>
    </row>
    <row r="2171" spans="2:11" x14ac:dyDescent="0.3">
      <c r="B2171" s="179">
        <v>84008</v>
      </c>
      <c r="C2171" s="175" t="s">
        <v>2265</v>
      </c>
      <c r="F2171" s="161"/>
      <c r="K2171" s="176"/>
    </row>
    <row r="2172" spans="2:11" x14ac:dyDescent="0.3">
      <c r="B2172" s="179">
        <v>87724</v>
      </c>
      <c r="C2172" s="175" t="s">
        <v>2266</v>
      </c>
      <c r="F2172" s="161"/>
      <c r="K2172" s="176"/>
    </row>
    <row r="2173" spans="2:11" x14ac:dyDescent="0.3">
      <c r="B2173" s="179">
        <v>90187</v>
      </c>
      <c r="C2173" s="175" t="s">
        <v>2267</v>
      </c>
      <c r="F2173" s="161"/>
      <c r="K2173" s="176"/>
    </row>
    <row r="2174" spans="2:11" x14ac:dyDescent="0.3">
      <c r="B2174" s="179">
        <v>90199</v>
      </c>
      <c r="C2174" s="175" t="s">
        <v>2268</v>
      </c>
      <c r="F2174" s="161"/>
      <c r="K2174" s="176"/>
    </row>
    <row r="2175" spans="2:11" x14ac:dyDescent="0.3">
      <c r="B2175" s="179">
        <v>90200</v>
      </c>
      <c r="C2175" s="175" t="s">
        <v>2269</v>
      </c>
      <c r="F2175" s="161"/>
      <c r="K2175" s="176"/>
    </row>
    <row r="2176" spans="2:11" x14ac:dyDescent="0.3">
      <c r="B2176" s="179">
        <v>90202</v>
      </c>
      <c r="C2176" s="175" t="s">
        <v>2270</v>
      </c>
      <c r="F2176" s="161"/>
      <c r="K2176" s="176"/>
    </row>
    <row r="2177" spans="2:11" x14ac:dyDescent="0.3">
      <c r="B2177" s="179">
        <v>90203</v>
      </c>
      <c r="C2177" s="175" t="s">
        <v>2271</v>
      </c>
      <c r="F2177" s="161"/>
      <c r="K2177" s="176"/>
    </row>
    <row r="2178" spans="2:11" x14ac:dyDescent="0.3">
      <c r="B2178" s="179">
        <v>90205</v>
      </c>
      <c r="C2178" s="175" t="s">
        <v>2272</v>
      </c>
      <c r="F2178" s="161"/>
      <c r="K2178" s="176"/>
    </row>
    <row r="2179" spans="2:11" x14ac:dyDescent="0.3">
      <c r="B2179" s="179">
        <v>90206</v>
      </c>
      <c r="C2179" s="175" t="s">
        <v>2273</v>
      </c>
      <c r="F2179" s="161"/>
      <c r="K2179" s="176"/>
    </row>
    <row r="2180" spans="2:11" x14ac:dyDescent="0.3">
      <c r="B2180" s="179">
        <v>90650</v>
      </c>
      <c r="C2180" s="175" t="s">
        <v>2274</v>
      </c>
      <c r="F2180" s="161"/>
      <c r="K2180" s="176"/>
    </row>
    <row r="2181" spans="2:11" x14ac:dyDescent="0.3">
      <c r="B2181" s="179">
        <v>90664</v>
      </c>
      <c r="C2181" s="175" t="s">
        <v>2275</v>
      </c>
      <c r="F2181" s="161"/>
      <c r="K2181" s="176"/>
    </row>
    <row r="2182" spans="2:11" x14ac:dyDescent="0.3">
      <c r="B2182" s="179">
        <v>90819</v>
      </c>
      <c r="C2182" s="175" t="s">
        <v>2276</v>
      </c>
      <c r="F2182" s="161"/>
      <c r="K2182" s="176"/>
    </row>
    <row r="2183" spans="2:11" x14ac:dyDescent="0.3">
      <c r="B2183" s="179">
        <v>90820</v>
      </c>
      <c r="C2183" s="175" t="s">
        <v>2277</v>
      </c>
      <c r="F2183" s="161"/>
      <c r="K2183" s="176"/>
    </row>
    <row r="2184" spans="2:11" x14ac:dyDescent="0.3">
      <c r="B2184" s="179">
        <v>90841</v>
      </c>
      <c r="C2184" s="175" t="s">
        <v>2278</v>
      </c>
      <c r="F2184" s="161"/>
      <c r="K2184" s="176"/>
    </row>
    <row r="2185" spans="2:11" x14ac:dyDescent="0.3">
      <c r="B2185" s="179">
        <v>91269</v>
      </c>
      <c r="C2185" s="175" t="s">
        <v>2279</v>
      </c>
      <c r="F2185" s="161"/>
      <c r="K2185" s="176"/>
    </row>
    <row r="2186" spans="2:11" x14ac:dyDescent="0.3">
      <c r="B2186" s="179">
        <v>3181</v>
      </c>
      <c r="C2186" s="175" t="s">
        <v>2280</v>
      </c>
      <c r="F2186" s="161"/>
      <c r="K2186" s="176"/>
    </row>
    <row r="2187" spans="2:11" x14ac:dyDescent="0.3">
      <c r="B2187" s="179">
        <v>28728</v>
      </c>
      <c r="C2187" s="175" t="s">
        <v>2281</v>
      </c>
      <c r="F2187" s="161"/>
      <c r="K2187" s="176"/>
    </row>
    <row r="2188" spans="2:11" x14ac:dyDescent="0.3">
      <c r="B2188" s="179">
        <v>80385</v>
      </c>
      <c r="C2188" s="175" t="s">
        <v>2282</v>
      </c>
      <c r="F2188" s="161"/>
      <c r="K2188" s="176"/>
    </row>
    <row r="2189" spans="2:11" x14ac:dyDescent="0.3">
      <c r="B2189" s="179">
        <v>100705</v>
      </c>
      <c r="C2189" s="175" t="s">
        <v>2283</v>
      </c>
      <c r="F2189" s="161"/>
      <c r="K2189" s="176"/>
    </row>
    <row r="2190" spans="2:11" x14ac:dyDescent="0.3">
      <c r="B2190" s="179">
        <v>101056</v>
      </c>
      <c r="C2190" s="175" t="s">
        <v>2284</v>
      </c>
      <c r="F2190" s="161"/>
      <c r="K2190" s="176"/>
    </row>
    <row r="2191" spans="2:11" x14ac:dyDescent="0.3">
      <c r="B2191" s="179">
        <v>86939</v>
      </c>
      <c r="C2191" s="175" t="s">
        <v>2285</v>
      </c>
      <c r="F2191" s="161"/>
      <c r="K2191" s="176"/>
    </row>
    <row r="2192" spans="2:11" x14ac:dyDescent="0.3">
      <c r="B2192" s="179">
        <v>87563</v>
      </c>
      <c r="C2192" s="175" t="s">
        <v>2286</v>
      </c>
      <c r="F2192" s="161"/>
      <c r="K2192" s="176"/>
    </row>
    <row r="2193" spans="2:11" x14ac:dyDescent="0.3">
      <c r="B2193" s="179">
        <v>87821</v>
      </c>
      <c r="C2193" s="175" t="s">
        <v>514</v>
      </c>
      <c r="F2193" s="161"/>
      <c r="K2193" s="176"/>
    </row>
    <row r="2194" spans="2:11" x14ac:dyDescent="0.3">
      <c r="B2194" s="179">
        <v>88110</v>
      </c>
      <c r="C2194" s="175" t="s">
        <v>2287</v>
      </c>
      <c r="F2194" s="161"/>
      <c r="K2194" s="176"/>
    </row>
    <row r="2195" spans="2:11" x14ac:dyDescent="0.3">
      <c r="B2195" s="179">
        <v>88114</v>
      </c>
      <c r="C2195" s="175" t="s">
        <v>2288</v>
      </c>
      <c r="F2195" s="161"/>
      <c r="K2195" s="176"/>
    </row>
    <row r="2196" spans="2:11" x14ac:dyDescent="0.3">
      <c r="B2196" s="179">
        <v>88549</v>
      </c>
      <c r="C2196" s="175" t="s">
        <v>2289</v>
      </c>
      <c r="F2196" s="161"/>
      <c r="K2196" s="176"/>
    </row>
    <row r="2197" spans="2:11" x14ac:dyDescent="0.3">
      <c r="B2197" s="179">
        <v>89026</v>
      </c>
      <c r="C2197" s="175" t="s">
        <v>2290</v>
      </c>
      <c r="F2197" s="161"/>
      <c r="K2197" s="176"/>
    </row>
    <row r="2198" spans="2:11" x14ac:dyDescent="0.3">
      <c r="B2198" s="179">
        <v>89141</v>
      </c>
      <c r="C2198" s="175" t="s">
        <v>2291</v>
      </c>
      <c r="F2198" s="161"/>
      <c r="K2198" s="176"/>
    </row>
    <row r="2199" spans="2:11" x14ac:dyDescent="0.3">
      <c r="B2199" s="179">
        <v>90385</v>
      </c>
      <c r="C2199" s="175" t="s">
        <v>2292</v>
      </c>
      <c r="F2199" s="161"/>
      <c r="K2199" s="176"/>
    </row>
    <row r="2200" spans="2:11" x14ac:dyDescent="0.3">
      <c r="B2200" s="179">
        <v>90483</v>
      </c>
      <c r="C2200" s="175" t="s">
        <v>2293</v>
      </c>
      <c r="F2200" s="161"/>
      <c r="K2200" s="176"/>
    </row>
    <row r="2201" spans="2:11" x14ac:dyDescent="0.3">
      <c r="B2201" s="179">
        <v>90514</v>
      </c>
      <c r="C2201" s="175" t="s">
        <v>2294</v>
      </c>
      <c r="F2201" s="161"/>
      <c r="K2201" s="176"/>
    </row>
    <row r="2202" spans="2:11" x14ac:dyDescent="0.3">
      <c r="B2202" s="179">
        <v>100905</v>
      </c>
      <c r="C2202" s="175" t="s">
        <v>2295</v>
      </c>
      <c r="F2202" s="161"/>
      <c r="K2202" s="176"/>
    </row>
    <row r="2203" spans="2:11" x14ac:dyDescent="0.3">
      <c r="B2203" s="179">
        <v>100915</v>
      </c>
      <c r="C2203" s="175" t="s">
        <v>2296</v>
      </c>
      <c r="F2203" s="161"/>
      <c r="K2203" s="176"/>
    </row>
    <row r="2204" spans="2:11" x14ac:dyDescent="0.3">
      <c r="B2204" s="179">
        <v>101256</v>
      </c>
      <c r="C2204" s="175" t="s">
        <v>2297</v>
      </c>
      <c r="F2204" s="161"/>
      <c r="K2204" s="176"/>
    </row>
    <row r="2205" spans="2:11" x14ac:dyDescent="0.3">
      <c r="B2205" s="179">
        <v>101302</v>
      </c>
      <c r="C2205" s="175" t="s">
        <v>2298</v>
      </c>
      <c r="F2205" s="161"/>
      <c r="K2205" s="176"/>
    </row>
    <row r="2206" spans="2:11" x14ac:dyDescent="0.3">
      <c r="B2206" s="179">
        <v>1145</v>
      </c>
      <c r="C2206" s="175" t="s">
        <v>2299</v>
      </c>
      <c r="F2206" s="161"/>
      <c r="K2206" s="176"/>
    </row>
    <row r="2207" spans="2:11" x14ac:dyDescent="0.3">
      <c r="B2207" s="179">
        <v>1854</v>
      </c>
      <c r="C2207" s="175" t="s">
        <v>2300</v>
      </c>
      <c r="F2207" s="161"/>
      <c r="K2207" s="176"/>
    </row>
    <row r="2208" spans="2:11" x14ac:dyDescent="0.3">
      <c r="B2208" s="179">
        <v>6280</v>
      </c>
      <c r="C2208" s="175" t="s">
        <v>2301</v>
      </c>
      <c r="F2208" s="161"/>
      <c r="K2208" s="176"/>
    </row>
    <row r="2209" spans="2:11" x14ac:dyDescent="0.3">
      <c r="B2209" s="179">
        <v>23278</v>
      </c>
      <c r="C2209" s="175" t="s">
        <v>2302</v>
      </c>
      <c r="F2209" s="161"/>
      <c r="K2209" s="176"/>
    </row>
    <row r="2210" spans="2:11" x14ac:dyDescent="0.3">
      <c r="B2210" s="179">
        <v>90523</v>
      </c>
      <c r="C2210" s="175" t="s">
        <v>2303</v>
      </c>
      <c r="F2210" s="161"/>
      <c r="K2210" s="176"/>
    </row>
    <row r="2211" spans="2:11" x14ac:dyDescent="0.3">
      <c r="B2211" s="179">
        <v>85846</v>
      </c>
      <c r="C2211" s="175" t="s">
        <v>2304</v>
      </c>
      <c r="F2211" s="161"/>
      <c r="K2211" s="176"/>
    </row>
    <row r="2212" spans="2:11" x14ac:dyDescent="0.3">
      <c r="B2212" s="179">
        <v>85848</v>
      </c>
      <c r="C2212" s="175" t="s">
        <v>2305</v>
      </c>
      <c r="F2212" s="161"/>
      <c r="K2212" s="176"/>
    </row>
    <row r="2213" spans="2:11" x14ac:dyDescent="0.3">
      <c r="B2213" s="179">
        <v>87028</v>
      </c>
      <c r="C2213" s="175" t="s">
        <v>2306</v>
      </c>
      <c r="F2213" s="161"/>
      <c r="K2213" s="176"/>
    </row>
    <row r="2214" spans="2:11" x14ac:dyDescent="0.3">
      <c r="B2214" s="179">
        <v>87029</v>
      </c>
      <c r="C2214" s="175" t="s">
        <v>2307</v>
      </c>
      <c r="F2214" s="161"/>
      <c r="K2214" s="176"/>
    </row>
    <row r="2215" spans="2:11" x14ac:dyDescent="0.3">
      <c r="B2215" s="179">
        <v>87079</v>
      </c>
      <c r="C2215" s="175" t="s">
        <v>2308</v>
      </c>
      <c r="F2215" s="161"/>
      <c r="K2215" s="176"/>
    </row>
    <row r="2216" spans="2:11" x14ac:dyDescent="0.3">
      <c r="B2216" s="179">
        <v>87198</v>
      </c>
      <c r="C2216" s="175" t="s">
        <v>2309</v>
      </c>
      <c r="F2216" s="161"/>
      <c r="K2216" s="176"/>
    </row>
    <row r="2217" spans="2:11" x14ac:dyDescent="0.3">
      <c r="B2217" s="179">
        <v>87358</v>
      </c>
      <c r="C2217" s="175" t="s">
        <v>2310</v>
      </c>
      <c r="F2217" s="161"/>
      <c r="K2217" s="176"/>
    </row>
    <row r="2218" spans="2:11" x14ac:dyDescent="0.3">
      <c r="B2218" s="179">
        <v>87505</v>
      </c>
      <c r="C2218" s="175" t="s">
        <v>2311</v>
      </c>
      <c r="F2218" s="161"/>
      <c r="K2218" s="176"/>
    </row>
    <row r="2219" spans="2:11" x14ac:dyDescent="0.3">
      <c r="B2219" s="179">
        <v>87506</v>
      </c>
      <c r="C2219" s="175" t="s">
        <v>2312</v>
      </c>
      <c r="F2219" s="161"/>
      <c r="K2219" s="176"/>
    </row>
    <row r="2220" spans="2:11" x14ac:dyDescent="0.3">
      <c r="B2220" s="179">
        <v>88662</v>
      </c>
      <c r="C2220" s="175" t="s">
        <v>2313</v>
      </c>
      <c r="F2220" s="161"/>
      <c r="K2220" s="176"/>
    </row>
    <row r="2221" spans="2:11" x14ac:dyDescent="0.3">
      <c r="B2221" s="179">
        <v>88989</v>
      </c>
      <c r="C2221" s="175" t="s">
        <v>2314</v>
      </c>
      <c r="F2221" s="161"/>
      <c r="K2221" s="176"/>
    </row>
    <row r="2222" spans="2:11" x14ac:dyDescent="0.3">
      <c r="B2222" s="179">
        <v>88990</v>
      </c>
      <c r="C2222" s="175" t="s">
        <v>2315</v>
      </c>
      <c r="F2222" s="161"/>
      <c r="K2222" s="176"/>
    </row>
    <row r="2223" spans="2:11" x14ac:dyDescent="0.3">
      <c r="B2223" s="179">
        <v>89017</v>
      </c>
      <c r="C2223" s="175" t="s">
        <v>2316</v>
      </c>
      <c r="F2223" s="161"/>
      <c r="K2223" s="176"/>
    </row>
    <row r="2224" spans="2:11" x14ac:dyDescent="0.3">
      <c r="B2224" s="179">
        <v>89150</v>
      </c>
      <c r="C2224" s="175" t="s">
        <v>2317</v>
      </c>
      <c r="F2224" s="161"/>
      <c r="K2224" s="176"/>
    </row>
    <row r="2225" spans="2:11" x14ac:dyDescent="0.3">
      <c r="B2225" s="179">
        <v>89177</v>
      </c>
      <c r="C2225" s="175" t="s">
        <v>2318</v>
      </c>
      <c r="F2225" s="161"/>
      <c r="K2225" s="176"/>
    </row>
    <row r="2226" spans="2:11" x14ac:dyDescent="0.3">
      <c r="B2226" s="179">
        <v>89222</v>
      </c>
      <c r="C2226" s="175" t="s">
        <v>2319</v>
      </c>
      <c r="F2226" s="161"/>
      <c r="K2226" s="176"/>
    </row>
    <row r="2227" spans="2:11" x14ac:dyDescent="0.3">
      <c r="B2227" s="179">
        <v>90920</v>
      </c>
      <c r="C2227" s="175" t="s">
        <v>2320</v>
      </c>
      <c r="F2227" s="161"/>
      <c r="K2227" s="176"/>
    </row>
    <row r="2228" spans="2:11" x14ac:dyDescent="0.3">
      <c r="B2228" s="179">
        <v>100943</v>
      </c>
      <c r="C2228" s="175" t="s">
        <v>2321</v>
      </c>
      <c r="F2228" s="161"/>
      <c r="K2228" s="176"/>
    </row>
    <row r="2229" spans="2:11" x14ac:dyDescent="0.3">
      <c r="B2229" s="179">
        <v>1847</v>
      </c>
      <c r="C2229" s="175" t="s">
        <v>2322</v>
      </c>
      <c r="F2229" s="161"/>
      <c r="K2229" s="176"/>
    </row>
    <row r="2230" spans="2:11" x14ac:dyDescent="0.3">
      <c r="B2230" s="179">
        <v>6169</v>
      </c>
      <c r="C2230" s="175" t="s">
        <v>2323</v>
      </c>
      <c r="F2230" s="161"/>
      <c r="K2230" s="176"/>
    </row>
    <row r="2231" spans="2:11" x14ac:dyDescent="0.3">
      <c r="B2231" s="179">
        <v>7460</v>
      </c>
      <c r="C2231" s="175" t="s">
        <v>2324</v>
      </c>
      <c r="F2231" s="161"/>
      <c r="K2231" s="176"/>
    </row>
    <row r="2232" spans="2:11" x14ac:dyDescent="0.3">
      <c r="B2232" s="179">
        <v>90540</v>
      </c>
      <c r="C2232" s="175" t="s">
        <v>2325</v>
      </c>
      <c r="F2232" s="161"/>
      <c r="K2232" s="176"/>
    </row>
    <row r="2233" spans="2:11" x14ac:dyDescent="0.3">
      <c r="B2233" s="179">
        <v>90542</v>
      </c>
      <c r="C2233" s="175" t="s">
        <v>2326</v>
      </c>
      <c r="F2233" s="161"/>
      <c r="K2233" s="176"/>
    </row>
    <row r="2234" spans="2:11" x14ac:dyDescent="0.3">
      <c r="B2234" s="179">
        <v>90801</v>
      </c>
      <c r="C2234" s="175" t="s">
        <v>2327</v>
      </c>
      <c r="F2234" s="161"/>
      <c r="K2234" s="176"/>
    </row>
    <row r="2235" spans="2:11" x14ac:dyDescent="0.3">
      <c r="B2235" s="179">
        <v>100655</v>
      </c>
      <c r="C2235" s="175" t="s">
        <v>2328</v>
      </c>
      <c r="F2235" s="161"/>
      <c r="K2235" s="176"/>
    </row>
    <row r="2236" spans="2:11" x14ac:dyDescent="0.3">
      <c r="B2236" s="179">
        <v>100762</v>
      </c>
      <c r="C2236" s="175" t="s">
        <v>2329</v>
      </c>
      <c r="F2236" s="161"/>
      <c r="K2236" s="176"/>
    </row>
    <row r="2237" spans="2:11" x14ac:dyDescent="0.3">
      <c r="B2237" s="179">
        <v>100936</v>
      </c>
      <c r="C2237" s="175" t="s">
        <v>2330</v>
      </c>
      <c r="F2237" s="161"/>
      <c r="K2237" s="176"/>
    </row>
    <row r="2238" spans="2:11" x14ac:dyDescent="0.3">
      <c r="B2238" s="179">
        <v>90076</v>
      </c>
      <c r="C2238" s="175" t="s">
        <v>2331</v>
      </c>
      <c r="F2238" s="161"/>
      <c r="K2238" s="176"/>
    </row>
    <row r="2239" spans="2:11" x14ac:dyDescent="0.3">
      <c r="B2239" s="179">
        <v>90122</v>
      </c>
      <c r="C2239" s="175" t="s">
        <v>2332</v>
      </c>
      <c r="F2239" s="161"/>
      <c r="K2239" s="176"/>
    </row>
    <row r="2240" spans="2:11" x14ac:dyDescent="0.3">
      <c r="B2240" s="179">
        <v>90124</v>
      </c>
      <c r="C2240" s="175" t="s">
        <v>2333</v>
      </c>
      <c r="F2240" s="161"/>
      <c r="K2240" s="176"/>
    </row>
    <row r="2241" spans="2:11" x14ac:dyDescent="0.3">
      <c r="B2241" s="179">
        <v>90125</v>
      </c>
      <c r="C2241" s="175" t="s">
        <v>2334</v>
      </c>
      <c r="F2241" s="161"/>
      <c r="K2241" s="176"/>
    </row>
    <row r="2242" spans="2:11" x14ac:dyDescent="0.3">
      <c r="B2242" s="179">
        <v>90132</v>
      </c>
      <c r="C2242" s="175" t="s">
        <v>2335</v>
      </c>
      <c r="F2242" s="161"/>
      <c r="K2242" s="176"/>
    </row>
    <row r="2243" spans="2:11" x14ac:dyDescent="0.3">
      <c r="B2243" s="179">
        <v>90137</v>
      </c>
      <c r="C2243" s="175" t="s">
        <v>2336</v>
      </c>
      <c r="F2243" s="161"/>
      <c r="K2243" s="176"/>
    </row>
    <row r="2244" spans="2:11" x14ac:dyDescent="0.3">
      <c r="B2244" s="179">
        <v>90139</v>
      </c>
      <c r="C2244" s="175" t="s">
        <v>2337</v>
      </c>
      <c r="F2244" s="161"/>
      <c r="K2244" s="176"/>
    </row>
    <row r="2245" spans="2:11" x14ac:dyDescent="0.3">
      <c r="B2245" s="179">
        <v>101459</v>
      </c>
      <c r="C2245" s="175" t="s">
        <v>2338</v>
      </c>
      <c r="F2245" s="161"/>
      <c r="K2245" s="176"/>
    </row>
    <row r="2246" spans="2:11" x14ac:dyDescent="0.3">
      <c r="B2246" s="179">
        <v>81485</v>
      </c>
      <c r="C2246" s="175" t="s">
        <v>2339</v>
      </c>
      <c r="F2246" s="161"/>
      <c r="K2246" s="176"/>
    </row>
    <row r="2247" spans="2:11" x14ac:dyDescent="0.3">
      <c r="B2247" s="179">
        <v>87190</v>
      </c>
      <c r="C2247" s="175" t="s">
        <v>2340</v>
      </c>
      <c r="F2247" s="161"/>
      <c r="K2247" s="176"/>
    </row>
    <row r="2248" spans="2:11" x14ac:dyDescent="0.3">
      <c r="B2248" s="179">
        <v>87191</v>
      </c>
      <c r="C2248" s="175" t="s">
        <v>2341</v>
      </c>
      <c r="F2248" s="161"/>
      <c r="K2248" s="176"/>
    </row>
    <row r="2249" spans="2:11" x14ac:dyDescent="0.3">
      <c r="B2249" s="179">
        <v>87193</v>
      </c>
      <c r="C2249" s="175" t="s">
        <v>2342</v>
      </c>
      <c r="F2249" s="161"/>
      <c r="K2249" s="176"/>
    </row>
    <row r="2250" spans="2:11" x14ac:dyDescent="0.3">
      <c r="B2250" s="179">
        <v>87194</v>
      </c>
      <c r="C2250" s="175" t="s">
        <v>2343</v>
      </c>
      <c r="F2250" s="161"/>
      <c r="K2250" s="176"/>
    </row>
    <row r="2251" spans="2:11" x14ac:dyDescent="0.3">
      <c r="B2251" s="179">
        <v>87503</v>
      </c>
      <c r="C2251" s="175" t="s">
        <v>2344</v>
      </c>
      <c r="F2251" s="161"/>
      <c r="K2251" s="176"/>
    </row>
    <row r="2252" spans="2:11" x14ac:dyDescent="0.3">
      <c r="B2252" s="179">
        <v>87755</v>
      </c>
      <c r="C2252" s="175" t="s">
        <v>2345</v>
      </c>
      <c r="F2252" s="161"/>
      <c r="K2252" s="176"/>
    </row>
    <row r="2253" spans="2:11" x14ac:dyDescent="0.3">
      <c r="B2253" s="179">
        <v>88100</v>
      </c>
      <c r="C2253" s="175" t="s">
        <v>2346</v>
      </c>
      <c r="F2253" s="161"/>
      <c r="K2253" s="176"/>
    </row>
    <row r="2254" spans="2:11" x14ac:dyDescent="0.3">
      <c r="B2254" s="179">
        <v>88121</v>
      </c>
      <c r="C2254" s="175" t="s">
        <v>2347</v>
      </c>
      <c r="F2254" s="161"/>
      <c r="K2254" s="176"/>
    </row>
    <row r="2255" spans="2:11" x14ac:dyDescent="0.3">
      <c r="B2255" s="179">
        <v>88762</v>
      </c>
      <c r="C2255" s="175" t="s">
        <v>2348</v>
      </c>
      <c r="F2255" s="161"/>
      <c r="K2255" s="176"/>
    </row>
    <row r="2256" spans="2:11" x14ac:dyDescent="0.3">
      <c r="B2256" s="179">
        <v>88764</v>
      </c>
      <c r="C2256" s="175" t="s">
        <v>2349</v>
      </c>
      <c r="F2256" s="161"/>
      <c r="K2256" s="176"/>
    </row>
    <row r="2257" spans="2:11" x14ac:dyDescent="0.3">
      <c r="B2257" s="179">
        <v>88765</v>
      </c>
      <c r="C2257" s="175" t="s">
        <v>2350</v>
      </c>
      <c r="F2257" s="161"/>
      <c r="K2257" s="176"/>
    </row>
    <row r="2258" spans="2:11" x14ac:dyDescent="0.3">
      <c r="B2258" s="179">
        <v>88766</v>
      </c>
      <c r="C2258" s="175" t="s">
        <v>2351</v>
      </c>
      <c r="F2258" s="161"/>
      <c r="K2258" s="176"/>
    </row>
    <row r="2259" spans="2:11" x14ac:dyDescent="0.3">
      <c r="B2259" s="179">
        <v>89013</v>
      </c>
      <c r="C2259" s="175" t="s">
        <v>2352</v>
      </c>
      <c r="F2259" s="161"/>
      <c r="K2259" s="176"/>
    </row>
    <row r="2260" spans="2:11" x14ac:dyDescent="0.3">
      <c r="B2260" s="179">
        <v>90940</v>
      </c>
      <c r="C2260" s="175" t="s">
        <v>2353</v>
      </c>
      <c r="F2260" s="161"/>
      <c r="K2260" s="176"/>
    </row>
    <row r="2261" spans="2:11" x14ac:dyDescent="0.3">
      <c r="B2261" s="179">
        <v>101095</v>
      </c>
      <c r="C2261" s="175" t="s">
        <v>2354</v>
      </c>
      <c r="F2261" s="161"/>
      <c r="K2261" s="176"/>
    </row>
    <row r="2262" spans="2:11" x14ac:dyDescent="0.3">
      <c r="B2262" s="179">
        <v>101096</v>
      </c>
      <c r="C2262" s="175" t="s">
        <v>2355</v>
      </c>
      <c r="F2262" s="161"/>
      <c r="K2262" s="176"/>
    </row>
    <row r="2263" spans="2:11" x14ac:dyDescent="0.3">
      <c r="B2263" s="179">
        <v>101098</v>
      </c>
      <c r="C2263" s="175" t="s">
        <v>2356</v>
      </c>
      <c r="F2263" s="161"/>
      <c r="K2263" s="176"/>
    </row>
    <row r="2264" spans="2:11" x14ac:dyDescent="0.3">
      <c r="B2264" s="179">
        <v>1813</v>
      </c>
      <c r="C2264" s="175" t="s">
        <v>2357</v>
      </c>
      <c r="F2264" s="161"/>
      <c r="K2264" s="176"/>
    </row>
    <row r="2265" spans="2:11" x14ac:dyDescent="0.3">
      <c r="B2265" s="179">
        <v>2074</v>
      </c>
      <c r="C2265" s="175" t="s">
        <v>2358</v>
      </c>
      <c r="F2265" s="161"/>
      <c r="K2265" s="176"/>
    </row>
    <row r="2266" spans="2:11" x14ac:dyDescent="0.3">
      <c r="B2266" s="179">
        <v>2623</v>
      </c>
      <c r="C2266" s="175" t="s">
        <v>2359</v>
      </c>
      <c r="F2266" s="161"/>
      <c r="K2266" s="176"/>
    </row>
    <row r="2267" spans="2:11" x14ac:dyDescent="0.3">
      <c r="B2267" s="179">
        <v>2766</v>
      </c>
      <c r="C2267" s="175" t="s">
        <v>2360</v>
      </c>
      <c r="F2267" s="161"/>
      <c r="K2267" s="176"/>
    </row>
    <row r="2268" spans="2:11" x14ac:dyDescent="0.3">
      <c r="B2268" s="179">
        <v>3555</v>
      </c>
      <c r="C2268" s="175" t="s">
        <v>2361</v>
      </c>
      <c r="F2268" s="161"/>
      <c r="K2268" s="176"/>
    </row>
    <row r="2269" spans="2:11" x14ac:dyDescent="0.3">
      <c r="B2269" s="179">
        <v>4723</v>
      </c>
      <c r="C2269" s="175" t="s">
        <v>2362</v>
      </c>
      <c r="F2269" s="161"/>
      <c r="K2269" s="176"/>
    </row>
    <row r="2270" spans="2:11" x14ac:dyDescent="0.3">
      <c r="B2270" s="179">
        <v>6461</v>
      </c>
      <c r="C2270" s="175" t="s">
        <v>2363</v>
      </c>
      <c r="F2270" s="161"/>
      <c r="K2270" s="176"/>
    </row>
    <row r="2271" spans="2:11" x14ac:dyDescent="0.3">
      <c r="B2271" s="179">
        <v>8889</v>
      </c>
      <c r="C2271" s="175" t="s">
        <v>2364</v>
      </c>
      <c r="F2271" s="161"/>
      <c r="K2271" s="176"/>
    </row>
    <row r="2272" spans="2:11" x14ac:dyDescent="0.3">
      <c r="B2272" s="179">
        <v>68656</v>
      </c>
      <c r="C2272" s="175" t="s">
        <v>2365</v>
      </c>
      <c r="F2272" s="161"/>
      <c r="K2272" s="176"/>
    </row>
    <row r="2273" spans="2:11" x14ac:dyDescent="0.3">
      <c r="B2273" s="179">
        <v>71543</v>
      </c>
      <c r="C2273" s="175" t="s">
        <v>2366</v>
      </c>
      <c r="F2273" s="161"/>
      <c r="K2273" s="176"/>
    </row>
    <row r="2274" spans="2:11" x14ac:dyDescent="0.3">
      <c r="B2274" s="179">
        <v>77628</v>
      </c>
      <c r="C2274" s="175" t="s">
        <v>2367</v>
      </c>
      <c r="F2274" s="161"/>
      <c r="K2274" s="176"/>
    </row>
    <row r="2275" spans="2:11" x14ac:dyDescent="0.3">
      <c r="B2275" s="179">
        <v>90449</v>
      </c>
      <c r="C2275" s="175" t="s">
        <v>2368</v>
      </c>
      <c r="F2275" s="161"/>
      <c r="K2275" s="176"/>
    </row>
    <row r="2276" spans="2:11" x14ac:dyDescent="0.3">
      <c r="B2276" s="179">
        <v>90451</v>
      </c>
      <c r="C2276" s="175" t="s">
        <v>2369</v>
      </c>
      <c r="F2276" s="161"/>
      <c r="K2276" s="176"/>
    </row>
    <row r="2277" spans="2:11" x14ac:dyDescent="0.3">
      <c r="B2277" s="179">
        <v>91160</v>
      </c>
      <c r="C2277" s="175" t="s">
        <v>2370</v>
      </c>
      <c r="F2277" s="161"/>
      <c r="K2277" s="176"/>
    </row>
    <row r="2278" spans="2:11" x14ac:dyDescent="0.3">
      <c r="B2278" s="179">
        <v>91170</v>
      </c>
      <c r="C2278" s="175" t="s">
        <v>2371</v>
      </c>
      <c r="F2278" s="161"/>
      <c r="K2278" s="176"/>
    </row>
    <row r="2279" spans="2:11" x14ac:dyDescent="0.3">
      <c r="B2279" s="179">
        <v>100785</v>
      </c>
      <c r="C2279" s="175" t="s">
        <v>2372</v>
      </c>
      <c r="F2279" s="161"/>
      <c r="K2279" s="176"/>
    </row>
    <row r="2280" spans="2:11" x14ac:dyDescent="0.3">
      <c r="B2280" s="179">
        <v>100794</v>
      </c>
      <c r="C2280" s="175" t="s">
        <v>2373</v>
      </c>
      <c r="F2280" s="161"/>
      <c r="K2280" s="176"/>
    </row>
    <row r="2281" spans="2:11" x14ac:dyDescent="0.3">
      <c r="B2281" s="179">
        <v>100822</v>
      </c>
      <c r="C2281" s="175" t="s">
        <v>2374</v>
      </c>
      <c r="F2281" s="161"/>
      <c r="K2281" s="176"/>
    </row>
    <row r="2282" spans="2:11" x14ac:dyDescent="0.3">
      <c r="B2282" s="179">
        <v>100823</v>
      </c>
      <c r="C2282" s="175" t="s">
        <v>2375</v>
      </c>
      <c r="F2282" s="161"/>
      <c r="K2282" s="176"/>
    </row>
    <row r="2283" spans="2:11" x14ac:dyDescent="0.3">
      <c r="B2283" s="179">
        <v>100950</v>
      </c>
      <c r="C2283" s="175" t="s">
        <v>2376</v>
      </c>
      <c r="F2283" s="161"/>
      <c r="K2283" s="176"/>
    </row>
    <row r="2284" spans="2:11" x14ac:dyDescent="0.3">
      <c r="B2284" s="179">
        <v>100951</v>
      </c>
      <c r="C2284" s="175" t="s">
        <v>2377</v>
      </c>
      <c r="F2284" s="161"/>
      <c r="K2284" s="176"/>
    </row>
    <row r="2285" spans="2:11" x14ac:dyDescent="0.3">
      <c r="B2285" s="179">
        <v>100952</v>
      </c>
      <c r="C2285" s="175" t="s">
        <v>2378</v>
      </c>
      <c r="F2285" s="161"/>
      <c r="K2285" s="176"/>
    </row>
    <row r="2286" spans="2:11" x14ac:dyDescent="0.3">
      <c r="B2286" s="179">
        <v>101052</v>
      </c>
      <c r="C2286" s="175" t="s">
        <v>2379</v>
      </c>
      <c r="F2286" s="161"/>
      <c r="K2286" s="176"/>
    </row>
    <row r="2287" spans="2:11" x14ac:dyDescent="0.3">
      <c r="B2287" s="179">
        <v>101054</v>
      </c>
      <c r="C2287" s="175" t="s">
        <v>2380</v>
      </c>
      <c r="F2287" s="161"/>
      <c r="K2287" s="176"/>
    </row>
    <row r="2288" spans="2:11" x14ac:dyDescent="0.3">
      <c r="B2288" s="179">
        <v>101055</v>
      </c>
      <c r="C2288" s="175" t="s">
        <v>2381</v>
      </c>
      <c r="F2288" s="161"/>
      <c r="K2288" s="176"/>
    </row>
    <row r="2289" spans="2:11" x14ac:dyDescent="0.3">
      <c r="B2289" s="179">
        <v>101174</v>
      </c>
      <c r="C2289" s="175" t="s">
        <v>2382</v>
      </c>
      <c r="F2289" s="161"/>
      <c r="K2289" s="176"/>
    </row>
    <row r="2290" spans="2:11" x14ac:dyDescent="0.3">
      <c r="B2290" s="179">
        <v>101244</v>
      </c>
      <c r="C2290" s="175" t="s">
        <v>2383</v>
      </c>
      <c r="F2290" s="161"/>
      <c r="K2290" s="176"/>
    </row>
    <row r="2291" spans="2:11" x14ac:dyDescent="0.3">
      <c r="B2291" s="179">
        <v>87001</v>
      </c>
      <c r="C2291" s="175" t="s">
        <v>2384</v>
      </c>
      <c r="F2291" s="161"/>
      <c r="K2291" s="176"/>
    </row>
    <row r="2292" spans="2:11" x14ac:dyDescent="0.3">
      <c r="B2292" s="179">
        <v>87905</v>
      </c>
      <c r="C2292" s="175" t="s">
        <v>2385</v>
      </c>
      <c r="F2292" s="161"/>
      <c r="K2292" s="176"/>
    </row>
    <row r="2293" spans="2:11" x14ac:dyDescent="0.3">
      <c r="B2293" s="179">
        <v>88094</v>
      </c>
      <c r="C2293" s="175" t="s">
        <v>2386</v>
      </c>
      <c r="F2293" s="161"/>
      <c r="K2293" s="176"/>
    </row>
    <row r="2294" spans="2:11" x14ac:dyDescent="0.3">
      <c r="B2294" s="179">
        <v>88723</v>
      </c>
      <c r="C2294" s="175" t="s">
        <v>2387</v>
      </c>
      <c r="F2294" s="161"/>
      <c r="K2294" s="176"/>
    </row>
    <row r="2295" spans="2:11" x14ac:dyDescent="0.3">
      <c r="B2295" s="179">
        <v>88754</v>
      </c>
      <c r="C2295" s="175" t="s">
        <v>2388</v>
      </c>
      <c r="F2295" s="161"/>
      <c r="K2295" s="176"/>
    </row>
    <row r="2296" spans="2:11" x14ac:dyDescent="0.3">
      <c r="B2296" s="179">
        <v>88758</v>
      </c>
      <c r="C2296" s="175" t="s">
        <v>2389</v>
      </c>
      <c r="F2296" s="161"/>
      <c r="K2296" s="176"/>
    </row>
    <row r="2297" spans="2:11" x14ac:dyDescent="0.3">
      <c r="B2297" s="179">
        <v>89225</v>
      </c>
      <c r="C2297" s="175" t="s">
        <v>2390</v>
      </c>
      <c r="F2297" s="161"/>
      <c r="K2297" s="176"/>
    </row>
    <row r="2298" spans="2:11" x14ac:dyDescent="0.3">
      <c r="B2298" s="179">
        <v>89716</v>
      </c>
      <c r="C2298" s="175" t="s">
        <v>2391</v>
      </c>
      <c r="F2298" s="161"/>
      <c r="K2298" s="176"/>
    </row>
    <row r="2299" spans="2:11" x14ac:dyDescent="0.3">
      <c r="B2299" s="179">
        <v>90157</v>
      </c>
      <c r="C2299" s="175" t="s">
        <v>2392</v>
      </c>
      <c r="F2299" s="161"/>
      <c r="K2299" s="176"/>
    </row>
    <row r="2300" spans="2:11" x14ac:dyDescent="0.3">
      <c r="B2300" s="179">
        <v>90356</v>
      </c>
      <c r="C2300" s="175" t="s">
        <v>2393</v>
      </c>
      <c r="F2300" s="161"/>
      <c r="K2300" s="176"/>
    </row>
    <row r="2301" spans="2:11" x14ac:dyDescent="0.3">
      <c r="B2301" s="179">
        <v>90381</v>
      </c>
      <c r="C2301" s="175" t="s">
        <v>2394</v>
      </c>
      <c r="F2301" s="161"/>
      <c r="K2301" s="176"/>
    </row>
    <row r="2302" spans="2:11" x14ac:dyDescent="0.3">
      <c r="B2302" s="179">
        <v>90413</v>
      </c>
      <c r="C2302" s="175" t="s">
        <v>2395</v>
      </c>
      <c r="F2302" s="161"/>
      <c r="K2302" s="176"/>
    </row>
    <row r="2303" spans="2:11" x14ac:dyDescent="0.3">
      <c r="B2303" s="179">
        <v>90448</v>
      </c>
      <c r="C2303" s="175" t="s">
        <v>2396</v>
      </c>
      <c r="F2303" s="161"/>
      <c r="K2303" s="176"/>
    </row>
    <row r="2304" spans="2:11" x14ac:dyDescent="0.3">
      <c r="B2304" s="179">
        <v>90716</v>
      </c>
      <c r="C2304" s="175" t="s">
        <v>2397</v>
      </c>
      <c r="F2304" s="161"/>
      <c r="K2304" s="176"/>
    </row>
    <row r="2305" spans="2:11" x14ac:dyDescent="0.3">
      <c r="B2305" s="179">
        <v>90806</v>
      </c>
      <c r="C2305" s="175" t="s">
        <v>2398</v>
      </c>
      <c r="F2305" s="161"/>
      <c r="K2305" s="176"/>
    </row>
    <row r="2306" spans="2:11" x14ac:dyDescent="0.3">
      <c r="B2306" s="179">
        <v>100485</v>
      </c>
      <c r="C2306" s="175" t="s">
        <v>2399</v>
      </c>
      <c r="F2306" s="161"/>
      <c r="K2306" s="176"/>
    </row>
    <row r="2307" spans="2:11" x14ac:dyDescent="0.3">
      <c r="B2307" s="179">
        <v>101369</v>
      </c>
      <c r="C2307" s="175" t="s">
        <v>2400</v>
      </c>
      <c r="F2307" s="161"/>
      <c r="K2307" s="176"/>
    </row>
    <row r="2308" spans="2:11" x14ac:dyDescent="0.3">
      <c r="B2308" s="179">
        <v>101483</v>
      </c>
      <c r="C2308" s="175" t="s">
        <v>2401</v>
      </c>
      <c r="F2308" s="161"/>
      <c r="K2308" s="176"/>
    </row>
    <row r="2309" spans="2:11" x14ac:dyDescent="0.3">
      <c r="B2309" s="179">
        <v>5754</v>
      </c>
      <c r="C2309" s="175" t="s">
        <v>2402</v>
      </c>
      <c r="F2309" s="161"/>
      <c r="K2309" s="176"/>
    </row>
    <row r="2310" spans="2:11" x14ac:dyDescent="0.3">
      <c r="B2310" s="179">
        <v>7797</v>
      </c>
      <c r="C2310" s="175" t="s">
        <v>2403</v>
      </c>
      <c r="F2310" s="161"/>
      <c r="K2310" s="176"/>
    </row>
    <row r="2311" spans="2:11" x14ac:dyDescent="0.3">
      <c r="B2311" s="179">
        <v>8681</v>
      </c>
      <c r="C2311" s="175" t="s">
        <v>2404</v>
      </c>
      <c r="F2311" s="161"/>
      <c r="K2311" s="176"/>
    </row>
    <row r="2312" spans="2:11" x14ac:dyDescent="0.3">
      <c r="B2312" s="179">
        <v>100739</v>
      </c>
      <c r="C2312" s="175" t="s">
        <v>2405</v>
      </c>
      <c r="F2312" s="161"/>
      <c r="K2312" s="176"/>
    </row>
    <row r="2313" spans="2:11" x14ac:dyDescent="0.3">
      <c r="B2313" s="179">
        <v>100741</v>
      </c>
      <c r="C2313" s="175" t="s">
        <v>2406</v>
      </c>
      <c r="F2313" s="161"/>
      <c r="K2313" s="176"/>
    </row>
    <row r="2314" spans="2:11" x14ac:dyDescent="0.3">
      <c r="B2314" s="179">
        <v>101112</v>
      </c>
      <c r="C2314" s="175" t="s">
        <v>2407</v>
      </c>
      <c r="F2314" s="161"/>
      <c r="K2314" s="176"/>
    </row>
    <row r="2315" spans="2:11" x14ac:dyDescent="0.3">
      <c r="B2315" s="179">
        <v>101323</v>
      </c>
      <c r="C2315" s="175" t="s">
        <v>2408</v>
      </c>
      <c r="F2315" s="161"/>
      <c r="K2315" s="176"/>
    </row>
    <row r="2316" spans="2:11" x14ac:dyDescent="0.3">
      <c r="B2316" s="179">
        <v>101324</v>
      </c>
      <c r="C2316" s="175" t="s">
        <v>2409</v>
      </c>
      <c r="F2316" s="161"/>
      <c r="K2316" s="176"/>
    </row>
    <row r="2317" spans="2:11" x14ac:dyDescent="0.3">
      <c r="B2317" s="179">
        <v>85902</v>
      </c>
      <c r="C2317" s="175" t="s">
        <v>2410</v>
      </c>
      <c r="F2317" s="161"/>
      <c r="K2317" s="176"/>
    </row>
    <row r="2318" spans="2:11" x14ac:dyDescent="0.3">
      <c r="B2318" s="179">
        <v>85920</v>
      </c>
      <c r="C2318" s="175" t="s">
        <v>2411</v>
      </c>
      <c r="F2318" s="161"/>
      <c r="K2318" s="176"/>
    </row>
    <row r="2319" spans="2:11" x14ac:dyDescent="0.3">
      <c r="B2319" s="179">
        <v>85983</v>
      </c>
      <c r="C2319" s="175" t="s">
        <v>2412</v>
      </c>
      <c r="F2319" s="161"/>
      <c r="K2319" s="176"/>
    </row>
    <row r="2320" spans="2:11" x14ac:dyDescent="0.3">
      <c r="B2320" s="179">
        <v>89774</v>
      </c>
      <c r="C2320" s="175" t="s">
        <v>2413</v>
      </c>
      <c r="F2320" s="161"/>
      <c r="K2320" s="176"/>
    </row>
    <row r="2321" spans="2:11" x14ac:dyDescent="0.3">
      <c r="B2321" s="179">
        <v>100532</v>
      </c>
      <c r="C2321" s="175" t="s">
        <v>2414</v>
      </c>
      <c r="F2321" s="161"/>
      <c r="K2321" s="176"/>
    </row>
    <row r="2322" spans="2:11" x14ac:dyDescent="0.3">
      <c r="B2322" s="179">
        <v>101124</v>
      </c>
      <c r="C2322" s="175" t="s">
        <v>2415</v>
      </c>
      <c r="F2322" s="161"/>
      <c r="K2322" s="176"/>
    </row>
    <row r="2323" spans="2:11" x14ac:dyDescent="0.3">
      <c r="B2323" s="179">
        <v>101125</v>
      </c>
      <c r="C2323" s="175" t="s">
        <v>2416</v>
      </c>
      <c r="F2323" s="161"/>
      <c r="K2323" s="176"/>
    </row>
    <row r="2324" spans="2:11" x14ac:dyDescent="0.3">
      <c r="B2324" s="179">
        <v>101236</v>
      </c>
      <c r="C2324" s="175" t="s">
        <v>2417</v>
      </c>
      <c r="F2324" s="161"/>
      <c r="K2324" s="176"/>
    </row>
    <row r="2325" spans="2:11" x14ac:dyDescent="0.3">
      <c r="B2325" s="179">
        <v>101293</v>
      </c>
      <c r="C2325" s="175" t="s">
        <v>2418</v>
      </c>
      <c r="F2325" s="161"/>
      <c r="K2325" s="176"/>
    </row>
    <row r="2326" spans="2:11" x14ac:dyDescent="0.3">
      <c r="B2326" s="179">
        <v>101482</v>
      </c>
      <c r="C2326" s="175" t="s">
        <v>2419</v>
      </c>
      <c r="F2326" s="161"/>
      <c r="K2326" s="176"/>
    </row>
    <row r="2327" spans="2:11" x14ac:dyDescent="0.3">
      <c r="B2327" s="179">
        <v>40935</v>
      </c>
      <c r="C2327" s="175" t="s">
        <v>2420</v>
      </c>
      <c r="F2327" s="161"/>
      <c r="K2327" s="176"/>
    </row>
    <row r="2328" spans="2:11" x14ac:dyDescent="0.3">
      <c r="B2328" s="179">
        <v>100559</v>
      </c>
      <c r="C2328" s="175" t="s">
        <v>2421</v>
      </c>
      <c r="F2328" s="161"/>
      <c r="K2328" s="176"/>
    </row>
    <row r="2329" spans="2:11" x14ac:dyDescent="0.3">
      <c r="B2329" s="179">
        <v>101051</v>
      </c>
      <c r="C2329" s="175" t="s">
        <v>2422</v>
      </c>
      <c r="F2329" s="161"/>
      <c r="K2329" s="176"/>
    </row>
    <row r="2330" spans="2:11" x14ac:dyDescent="0.3">
      <c r="B2330" s="179">
        <v>101481</v>
      </c>
      <c r="C2330" s="175" t="s">
        <v>2423</v>
      </c>
      <c r="F2330" s="161"/>
      <c r="K2330" s="176"/>
    </row>
    <row r="2331" spans="2:11" x14ac:dyDescent="0.3">
      <c r="B2331" s="179">
        <v>101484</v>
      </c>
      <c r="C2331" s="175" t="s">
        <v>2424</v>
      </c>
      <c r="F2331" s="161"/>
      <c r="K2331" s="176"/>
    </row>
    <row r="2332" spans="2:11" x14ac:dyDescent="0.3">
      <c r="B2332" s="179">
        <v>88102</v>
      </c>
      <c r="C2332" s="175" t="s">
        <v>2425</v>
      </c>
      <c r="F2332" s="161"/>
      <c r="K2332" s="176"/>
    </row>
    <row r="2333" spans="2:11" x14ac:dyDescent="0.3">
      <c r="B2333" s="179">
        <v>88168</v>
      </c>
      <c r="C2333" s="175" t="s">
        <v>2426</v>
      </c>
      <c r="F2333" s="161"/>
      <c r="K2333" s="176"/>
    </row>
    <row r="2334" spans="2:11" x14ac:dyDescent="0.3">
      <c r="B2334" s="179">
        <v>88294</v>
      </c>
      <c r="C2334" s="175" t="s">
        <v>2427</v>
      </c>
      <c r="F2334" s="161"/>
      <c r="K2334" s="176"/>
    </row>
    <row r="2335" spans="2:11" x14ac:dyDescent="0.3">
      <c r="B2335" s="179">
        <v>89174</v>
      </c>
      <c r="C2335" s="175" t="s">
        <v>2428</v>
      </c>
      <c r="F2335" s="161"/>
      <c r="K2335" s="176"/>
    </row>
    <row r="2336" spans="2:11" x14ac:dyDescent="0.3">
      <c r="B2336" s="179">
        <v>89329</v>
      </c>
      <c r="C2336" s="175" t="s">
        <v>2429</v>
      </c>
      <c r="F2336" s="161"/>
      <c r="K2336" s="176"/>
    </row>
    <row r="2337" spans="2:11" x14ac:dyDescent="0.3">
      <c r="B2337" s="179">
        <v>89791</v>
      </c>
      <c r="C2337" s="175" t="s">
        <v>2430</v>
      </c>
      <c r="F2337" s="161"/>
      <c r="K2337" s="176"/>
    </row>
    <row r="2338" spans="2:11" x14ac:dyDescent="0.3">
      <c r="B2338" s="179">
        <v>90059</v>
      </c>
      <c r="C2338" s="175" t="s">
        <v>2431</v>
      </c>
      <c r="F2338" s="161"/>
      <c r="K2338" s="176"/>
    </row>
    <row r="2339" spans="2:11" x14ac:dyDescent="0.3">
      <c r="B2339" s="179">
        <v>90142</v>
      </c>
      <c r="C2339" s="175" t="s">
        <v>2432</v>
      </c>
      <c r="F2339" s="161"/>
      <c r="K2339" s="176"/>
    </row>
    <row r="2340" spans="2:11" x14ac:dyDescent="0.3">
      <c r="B2340" s="179">
        <v>100704</v>
      </c>
      <c r="C2340" s="175" t="s">
        <v>2433</v>
      </c>
      <c r="F2340" s="161"/>
      <c r="K2340" s="176"/>
    </row>
    <row r="2341" spans="2:11" x14ac:dyDescent="0.3">
      <c r="B2341" s="179">
        <v>28881</v>
      </c>
      <c r="C2341" s="175" t="s">
        <v>2434</v>
      </c>
      <c r="F2341" s="161"/>
      <c r="K2341" s="176"/>
    </row>
    <row r="2342" spans="2:11" x14ac:dyDescent="0.3">
      <c r="B2342" s="179">
        <v>101440</v>
      </c>
      <c r="C2342" s="175" t="s">
        <v>2435</v>
      </c>
      <c r="F2342" s="161"/>
      <c r="K2342" s="176"/>
    </row>
    <row r="2343" spans="2:11" x14ac:dyDescent="0.3">
      <c r="B2343" s="179">
        <v>101463</v>
      </c>
      <c r="C2343" s="175" t="s">
        <v>2436</v>
      </c>
      <c r="F2343" s="161"/>
      <c r="K2343" s="176"/>
    </row>
    <row r="2344" spans="2:11" x14ac:dyDescent="0.3">
      <c r="B2344" s="179">
        <v>87013</v>
      </c>
      <c r="C2344" s="175" t="s">
        <v>2437</v>
      </c>
      <c r="F2344" s="161"/>
      <c r="K2344" s="176"/>
    </row>
    <row r="2345" spans="2:11" x14ac:dyDescent="0.3">
      <c r="B2345" s="179">
        <v>87020</v>
      </c>
      <c r="C2345" s="175" t="s">
        <v>2438</v>
      </c>
      <c r="F2345" s="161"/>
      <c r="K2345" s="176"/>
    </row>
    <row r="2346" spans="2:11" x14ac:dyDescent="0.3">
      <c r="B2346" s="179">
        <v>87538</v>
      </c>
      <c r="C2346" s="175" t="s">
        <v>2439</v>
      </c>
      <c r="F2346" s="161"/>
      <c r="K2346" s="176"/>
    </row>
    <row r="2347" spans="2:11" x14ac:dyDescent="0.3">
      <c r="B2347" s="179">
        <v>88727</v>
      </c>
      <c r="C2347" s="175" t="s">
        <v>2440</v>
      </c>
      <c r="F2347" s="161"/>
      <c r="K2347" s="176"/>
    </row>
    <row r="2348" spans="2:11" x14ac:dyDescent="0.3">
      <c r="B2348" s="179">
        <v>89255</v>
      </c>
      <c r="C2348" s="175" t="s">
        <v>2441</v>
      </c>
      <c r="F2348" s="161"/>
      <c r="K2348" s="176"/>
    </row>
    <row r="2349" spans="2:11" x14ac:dyDescent="0.3">
      <c r="B2349" s="179">
        <v>89528</v>
      </c>
      <c r="C2349" s="175" t="s">
        <v>2442</v>
      </c>
      <c r="F2349" s="161"/>
      <c r="K2349" s="176"/>
    </row>
    <row r="2350" spans="2:11" x14ac:dyDescent="0.3">
      <c r="B2350" s="179">
        <v>90095</v>
      </c>
      <c r="C2350" s="175" t="s">
        <v>2443</v>
      </c>
      <c r="F2350" s="161"/>
      <c r="K2350" s="176"/>
    </row>
    <row r="2351" spans="2:11" x14ac:dyDescent="0.3">
      <c r="B2351" s="179">
        <v>90265</v>
      </c>
      <c r="C2351" s="175" t="s">
        <v>2444</v>
      </c>
      <c r="F2351" s="161"/>
      <c r="K2351" s="176"/>
    </row>
    <row r="2352" spans="2:11" x14ac:dyDescent="0.3">
      <c r="B2352" s="179">
        <v>91261</v>
      </c>
      <c r="C2352" s="175" t="s">
        <v>2445</v>
      </c>
      <c r="F2352" s="161"/>
      <c r="K2352" s="176"/>
    </row>
    <row r="2353" spans="2:11" x14ac:dyDescent="0.3">
      <c r="B2353" s="179">
        <v>100670</v>
      </c>
      <c r="C2353" s="175" t="s">
        <v>2446</v>
      </c>
      <c r="F2353" s="161"/>
      <c r="K2353" s="176"/>
    </row>
    <row r="2354" spans="2:11" x14ac:dyDescent="0.3">
      <c r="B2354" s="179">
        <v>101143</v>
      </c>
      <c r="C2354" s="175" t="s">
        <v>2447</v>
      </c>
      <c r="F2354" s="161"/>
      <c r="K2354" s="176"/>
    </row>
    <row r="2355" spans="2:11" x14ac:dyDescent="0.3">
      <c r="B2355" s="179">
        <v>101461</v>
      </c>
      <c r="C2355" s="175" t="s">
        <v>2448</v>
      </c>
      <c r="F2355" s="161"/>
      <c r="K2355" s="176"/>
    </row>
    <row r="2356" spans="2:11" x14ac:dyDescent="0.3">
      <c r="B2356" s="179">
        <v>16647</v>
      </c>
      <c r="C2356" s="175" t="s">
        <v>2449</v>
      </c>
      <c r="F2356" s="161"/>
      <c r="K2356" s="176"/>
    </row>
    <row r="2357" spans="2:11" x14ac:dyDescent="0.3">
      <c r="B2357" s="179">
        <v>42105</v>
      </c>
      <c r="C2357" s="175" t="s">
        <v>2450</v>
      </c>
      <c r="F2357" s="161"/>
      <c r="K2357" s="176"/>
    </row>
    <row r="2358" spans="2:11" x14ac:dyDescent="0.3">
      <c r="B2358" s="179">
        <v>73540</v>
      </c>
      <c r="C2358" s="175" t="s">
        <v>2451</v>
      </c>
      <c r="F2358" s="161"/>
      <c r="K2358" s="176"/>
    </row>
    <row r="2359" spans="2:11" x14ac:dyDescent="0.3">
      <c r="B2359" s="179">
        <v>91213</v>
      </c>
      <c r="C2359" s="175" t="s">
        <v>2452</v>
      </c>
      <c r="F2359" s="161"/>
      <c r="K2359" s="176"/>
    </row>
    <row r="2360" spans="2:11" x14ac:dyDescent="0.3">
      <c r="B2360" s="179">
        <v>100976</v>
      </c>
      <c r="C2360" s="175" t="s">
        <v>2453</v>
      </c>
      <c r="F2360" s="161"/>
      <c r="K2360" s="176"/>
    </row>
    <row r="2361" spans="2:11" x14ac:dyDescent="0.3">
      <c r="B2361" s="179">
        <v>101462</v>
      </c>
      <c r="C2361" s="175" t="s">
        <v>2454</v>
      </c>
      <c r="F2361" s="161"/>
      <c r="K2361" s="176"/>
    </row>
    <row r="2362" spans="2:11" x14ac:dyDescent="0.3">
      <c r="B2362" s="179">
        <v>87173</v>
      </c>
      <c r="C2362" s="175" t="s">
        <v>2455</v>
      </c>
      <c r="F2362" s="161"/>
      <c r="K2362" s="176"/>
    </row>
    <row r="2363" spans="2:11" x14ac:dyDescent="0.3">
      <c r="B2363" s="179">
        <v>87509</v>
      </c>
      <c r="C2363" s="175" t="s">
        <v>2456</v>
      </c>
      <c r="F2363" s="161"/>
      <c r="K2363" s="176"/>
    </row>
    <row r="2364" spans="2:11" x14ac:dyDescent="0.3">
      <c r="B2364" s="179">
        <v>89037</v>
      </c>
      <c r="C2364" s="175" t="s">
        <v>2457</v>
      </c>
      <c r="F2364" s="161"/>
      <c r="K2364" s="176"/>
    </row>
    <row r="2365" spans="2:11" x14ac:dyDescent="0.3">
      <c r="B2365" s="179">
        <v>89283</v>
      </c>
      <c r="C2365" s="175" t="s">
        <v>2458</v>
      </c>
      <c r="F2365" s="161"/>
      <c r="K2365" s="176"/>
    </row>
    <row r="2366" spans="2:11" x14ac:dyDescent="0.3">
      <c r="B2366" s="179">
        <v>90986</v>
      </c>
      <c r="C2366" s="175" t="s">
        <v>2459</v>
      </c>
      <c r="F2366" s="161"/>
      <c r="K2366" s="176"/>
    </row>
    <row r="2367" spans="2:11" x14ac:dyDescent="0.3">
      <c r="B2367" s="179">
        <v>100480</v>
      </c>
      <c r="C2367" s="175" t="s">
        <v>2460</v>
      </c>
      <c r="F2367" s="161"/>
      <c r="K2367" s="176"/>
    </row>
    <row r="2368" spans="2:11" x14ac:dyDescent="0.3">
      <c r="B2368" s="179">
        <v>100545</v>
      </c>
      <c r="C2368" s="175" t="s">
        <v>2461</v>
      </c>
      <c r="F2368" s="161"/>
      <c r="K2368" s="176"/>
    </row>
    <row r="2369" spans="2:11" x14ac:dyDescent="0.3">
      <c r="B2369" s="179">
        <v>100640</v>
      </c>
      <c r="C2369" s="175" t="s">
        <v>2462</v>
      </c>
      <c r="F2369" s="161"/>
      <c r="K2369" s="176"/>
    </row>
    <row r="2370" spans="2:11" x14ac:dyDescent="0.3">
      <c r="B2370" s="179">
        <v>7989</v>
      </c>
      <c r="C2370" s="175" t="s">
        <v>2463</v>
      </c>
      <c r="F2370" s="161"/>
      <c r="K2370" s="176"/>
    </row>
    <row r="2371" spans="2:11" x14ac:dyDescent="0.3">
      <c r="B2371" s="179">
        <v>7991</v>
      </c>
      <c r="C2371" s="175" t="s">
        <v>2464</v>
      </c>
      <c r="F2371" s="161"/>
      <c r="K2371" s="176"/>
    </row>
    <row r="2372" spans="2:11" x14ac:dyDescent="0.3">
      <c r="B2372" s="179">
        <v>40537</v>
      </c>
      <c r="C2372" s="175" t="s">
        <v>2465</v>
      </c>
      <c r="F2372" s="161"/>
      <c r="K2372" s="176"/>
    </row>
    <row r="2373" spans="2:11" x14ac:dyDescent="0.3">
      <c r="B2373" s="179">
        <v>42796</v>
      </c>
      <c r="C2373" s="175" t="s">
        <v>2466</v>
      </c>
      <c r="F2373" s="161"/>
      <c r="K2373" s="176"/>
    </row>
    <row r="2374" spans="2:11" x14ac:dyDescent="0.3">
      <c r="B2374" s="179">
        <v>100493</v>
      </c>
      <c r="C2374" s="175" t="s">
        <v>2467</v>
      </c>
      <c r="F2374" s="161"/>
      <c r="K2374" s="176"/>
    </row>
    <row r="2375" spans="2:11" x14ac:dyDescent="0.3">
      <c r="B2375" s="179">
        <v>100641</v>
      </c>
      <c r="C2375" s="175" t="s">
        <v>2468</v>
      </c>
      <c r="F2375" s="161"/>
      <c r="K2375" s="176"/>
    </row>
    <row r="2376" spans="2:11" x14ac:dyDescent="0.3">
      <c r="B2376" s="179">
        <v>100771</v>
      </c>
      <c r="C2376" s="175" t="s">
        <v>2469</v>
      </c>
      <c r="F2376" s="161"/>
      <c r="K2376" s="176"/>
    </row>
    <row r="2377" spans="2:11" x14ac:dyDescent="0.3">
      <c r="B2377" s="179">
        <v>100901</v>
      </c>
      <c r="C2377" s="175" t="s">
        <v>2470</v>
      </c>
      <c r="F2377" s="161"/>
      <c r="K2377" s="176"/>
    </row>
    <row r="2378" spans="2:11" x14ac:dyDescent="0.3">
      <c r="B2378" s="179">
        <v>101090</v>
      </c>
      <c r="C2378" s="175" t="s">
        <v>2471</v>
      </c>
      <c r="F2378" s="161"/>
      <c r="K2378" s="176"/>
    </row>
    <row r="2379" spans="2:11" x14ac:dyDescent="0.3">
      <c r="B2379" s="179">
        <v>4839</v>
      </c>
      <c r="C2379" s="175" t="s">
        <v>2472</v>
      </c>
      <c r="F2379" s="161"/>
      <c r="K2379" s="176"/>
    </row>
    <row r="2380" spans="2:11" x14ac:dyDescent="0.3">
      <c r="B2380" s="179">
        <v>2579</v>
      </c>
      <c r="C2380" s="175" t="s">
        <v>2473</v>
      </c>
      <c r="F2380" s="161"/>
      <c r="K2380" s="176"/>
    </row>
    <row r="2381" spans="2:11" x14ac:dyDescent="0.3">
      <c r="B2381" s="179">
        <v>5418</v>
      </c>
      <c r="C2381" s="175" t="s">
        <v>2474</v>
      </c>
      <c r="F2381" s="161"/>
      <c r="K2381" s="176"/>
    </row>
    <row r="2382" spans="2:11" x14ac:dyDescent="0.3">
      <c r="B2382" s="179">
        <v>6277</v>
      </c>
      <c r="C2382" s="175" t="s">
        <v>2475</v>
      </c>
      <c r="F2382" s="161"/>
      <c r="K2382" s="176"/>
    </row>
    <row r="2383" spans="2:11" x14ac:dyDescent="0.3">
      <c r="B2383" s="179">
        <v>25717</v>
      </c>
      <c r="C2383" s="175" t="s">
        <v>2476</v>
      </c>
      <c r="F2383" s="161"/>
      <c r="K2383" s="176"/>
    </row>
    <row r="2384" spans="2:11" x14ac:dyDescent="0.3">
      <c r="B2384" s="179">
        <v>85685</v>
      </c>
      <c r="C2384" s="175" t="s">
        <v>2477</v>
      </c>
      <c r="F2384" s="161"/>
      <c r="K2384" s="176"/>
    </row>
    <row r="2385" spans="2:11" x14ac:dyDescent="0.3">
      <c r="B2385" s="179">
        <v>85688</v>
      </c>
      <c r="C2385" s="175" t="s">
        <v>2478</v>
      </c>
      <c r="F2385" s="161"/>
      <c r="K2385" s="176"/>
    </row>
    <row r="2386" spans="2:11" x14ac:dyDescent="0.3">
      <c r="B2386" s="179">
        <v>86789</v>
      </c>
      <c r="C2386" s="175" t="s">
        <v>2479</v>
      </c>
      <c r="F2386" s="161"/>
      <c r="K2386" s="176"/>
    </row>
    <row r="2387" spans="2:11" x14ac:dyDescent="0.3">
      <c r="B2387" s="179">
        <v>87073</v>
      </c>
      <c r="C2387" s="175" t="s">
        <v>2480</v>
      </c>
      <c r="F2387" s="161"/>
      <c r="K2387" s="176"/>
    </row>
    <row r="2388" spans="2:11" x14ac:dyDescent="0.3">
      <c r="B2388" s="179">
        <v>87080</v>
      </c>
      <c r="C2388" s="175" t="s">
        <v>2481</v>
      </c>
      <c r="F2388" s="161"/>
      <c r="K2388" s="176"/>
    </row>
    <row r="2389" spans="2:11" x14ac:dyDescent="0.3">
      <c r="B2389" s="179">
        <v>87504</v>
      </c>
      <c r="C2389" s="175" t="s">
        <v>2482</v>
      </c>
      <c r="F2389" s="161"/>
      <c r="K2389" s="176"/>
    </row>
    <row r="2390" spans="2:11" x14ac:dyDescent="0.3">
      <c r="B2390" s="179">
        <v>88398</v>
      </c>
      <c r="C2390" s="175" t="s">
        <v>2483</v>
      </c>
      <c r="F2390" s="161"/>
      <c r="K2390" s="176"/>
    </row>
    <row r="2391" spans="2:11" x14ac:dyDescent="0.3">
      <c r="B2391" s="179">
        <v>88626</v>
      </c>
      <c r="C2391" s="175" t="s">
        <v>2484</v>
      </c>
      <c r="F2391" s="161"/>
      <c r="K2391" s="176"/>
    </row>
    <row r="2392" spans="2:11" x14ac:dyDescent="0.3">
      <c r="B2392" s="179">
        <v>88938</v>
      </c>
      <c r="C2392" s="175" t="s">
        <v>2485</v>
      </c>
      <c r="F2392" s="161"/>
      <c r="K2392" s="176"/>
    </row>
    <row r="2393" spans="2:11" x14ac:dyDescent="0.3">
      <c r="B2393" s="179">
        <v>88939</v>
      </c>
      <c r="C2393" s="175" t="s">
        <v>2486</v>
      </c>
      <c r="F2393" s="161"/>
      <c r="K2393" s="176"/>
    </row>
    <row r="2394" spans="2:11" x14ac:dyDescent="0.3">
      <c r="B2394" s="179">
        <v>89025</v>
      </c>
      <c r="C2394" s="175" t="s">
        <v>2487</v>
      </c>
      <c r="F2394" s="161"/>
      <c r="K2394" s="176"/>
    </row>
    <row r="2395" spans="2:11" x14ac:dyDescent="0.3">
      <c r="B2395" s="179">
        <v>89235</v>
      </c>
      <c r="C2395" s="175" t="s">
        <v>2488</v>
      </c>
      <c r="F2395" s="161"/>
      <c r="K2395" s="176"/>
    </row>
    <row r="2396" spans="2:11" x14ac:dyDescent="0.3">
      <c r="B2396" s="179">
        <v>89495</v>
      </c>
      <c r="C2396" s="175" t="s">
        <v>2489</v>
      </c>
      <c r="F2396" s="161"/>
      <c r="K2396" s="176"/>
    </row>
    <row r="2397" spans="2:11" x14ac:dyDescent="0.3">
      <c r="B2397" s="179">
        <v>89497</v>
      </c>
      <c r="C2397" s="175" t="s">
        <v>2490</v>
      </c>
      <c r="F2397" s="161"/>
      <c r="K2397" s="176"/>
    </row>
    <row r="2398" spans="2:11" x14ac:dyDescent="0.3">
      <c r="B2398" s="179">
        <v>89532</v>
      </c>
      <c r="C2398" s="175" t="s">
        <v>2491</v>
      </c>
      <c r="F2398" s="161"/>
      <c r="K2398" s="176"/>
    </row>
    <row r="2399" spans="2:11" x14ac:dyDescent="0.3">
      <c r="B2399" s="179">
        <v>89536</v>
      </c>
      <c r="C2399" s="175" t="s">
        <v>2492</v>
      </c>
      <c r="F2399" s="161"/>
      <c r="K2399" s="176"/>
    </row>
    <row r="2400" spans="2:11" x14ac:dyDescent="0.3">
      <c r="B2400" s="179">
        <v>89820</v>
      </c>
      <c r="C2400" s="175" t="s">
        <v>2493</v>
      </c>
      <c r="F2400" s="161"/>
      <c r="K2400" s="176"/>
    </row>
    <row r="2401" spans="2:11" x14ac:dyDescent="0.3">
      <c r="B2401" s="179">
        <v>100933</v>
      </c>
      <c r="C2401" s="175" t="s">
        <v>2494</v>
      </c>
      <c r="F2401" s="161"/>
      <c r="K2401" s="176"/>
    </row>
    <row r="2402" spans="2:11" x14ac:dyDescent="0.3">
      <c r="B2402" s="179">
        <v>101405</v>
      </c>
      <c r="C2402" s="175" t="s">
        <v>2495</v>
      </c>
      <c r="F2402" s="161"/>
      <c r="K2402" s="176"/>
    </row>
    <row r="2403" spans="2:11" x14ac:dyDescent="0.3">
      <c r="B2403" s="179">
        <v>5305</v>
      </c>
      <c r="C2403" s="175" t="s">
        <v>2496</v>
      </c>
      <c r="F2403" s="161"/>
      <c r="K2403" s="176"/>
    </row>
    <row r="2404" spans="2:11" x14ac:dyDescent="0.3">
      <c r="B2404" s="179">
        <v>52723</v>
      </c>
      <c r="C2404" s="175" t="s">
        <v>2497</v>
      </c>
      <c r="F2404" s="161"/>
      <c r="K2404" s="176"/>
    </row>
    <row r="2405" spans="2:11" x14ac:dyDescent="0.3">
      <c r="B2405" s="179">
        <v>52964</v>
      </c>
      <c r="C2405" s="175" t="s">
        <v>2498</v>
      </c>
      <c r="F2405" s="161"/>
      <c r="K2405" s="176"/>
    </row>
    <row r="2406" spans="2:11" x14ac:dyDescent="0.3">
      <c r="B2406" s="179">
        <v>67045</v>
      </c>
      <c r="C2406" s="175" t="s">
        <v>2499</v>
      </c>
      <c r="F2406" s="161"/>
      <c r="K2406" s="176"/>
    </row>
    <row r="2407" spans="2:11" x14ac:dyDescent="0.3">
      <c r="B2407" s="179">
        <v>86787</v>
      </c>
      <c r="C2407" s="175" t="s">
        <v>2500</v>
      </c>
      <c r="F2407" s="161"/>
      <c r="K2407" s="176"/>
    </row>
    <row r="2408" spans="2:11" x14ac:dyDescent="0.3">
      <c r="B2408" s="179">
        <v>90938</v>
      </c>
      <c r="C2408" s="175" t="s">
        <v>2501</v>
      </c>
      <c r="F2408" s="161"/>
      <c r="K2408" s="176"/>
    </row>
    <row r="2409" spans="2:11" x14ac:dyDescent="0.3">
      <c r="B2409" s="179">
        <v>91163</v>
      </c>
      <c r="C2409" s="175" t="s">
        <v>2502</v>
      </c>
      <c r="F2409" s="161"/>
      <c r="K2409" s="176"/>
    </row>
    <row r="2410" spans="2:11" x14ac:dyDescent="0.3">
      <c r="B2410" s="179">
        <v>100661</v>
      </c>
      <c r="C2410" s="175" t="s">
        <v>2503</v>
      </c>
      <c r="F2410" s="161"/>
      <c r="K2410" s="176"/>
    </row>
    <row r="2411" spans="2:11" x14ac:dyDescent="0.3">
      <c r="B2411" s="179">
        <v>100880</v>
      </c>
      <c r="C2411" s="175" t="s">
        <v>2504</v>
      </c>
      <c r="F2411" s="161"/>
      <c r="K2411" s="176"/>
    </row>
    <row r="2412" spans="2:11" x14ac:dyDescent="0.3">
      <c r="B2412" s="179">
        <v>100994</v>
      </c>
      <c r="C2412" s="175" t="s">
        <v>2505</v>
      </c>
      <c r="F2412" s="161"/>
      <c r="K2412" s="176"/>
    </row>
    <row r="2413" spans="2:11" x14ac:dyDescent="0.3">
      <c r="B2413" s="179">
        <v>101219</v>
      </c>
      <c r="C2413" s="175" t="s">
        <v>2506</v>
      </c>
      <c r="F2413" s="161"/>
      <c r="K2413" s="176"/>
    </row>
    <row r="2414" spans="2:11" x14ac:dyDescent="0.3">
      <c r="B2414" s="179">
        <v>101316</v>
      </c>
      <c r="C2414" s="175" t="s">
        <v>2507</v>
      </c>
      <c r="F2414" s="161"/>
      <c r="K2414" s="176"/>
    </row>
    <row r="2415" spans="2:11" x14ac:dyDescent="0.3">
      <c r="B2415" s="179">
        <v>101403</v>
      </c>
      <c r="C2415" s="175" t="s">
        <v>2508</v>
      </c>
      <c r="F2415" s="161"/>
      <c r="K2415" s="176"/>
    </row>
    <row r="2416" spans="2:11" x14ac:dyDescent="0.3">
      <c r="B2416" s="179">
        <v>88432</v>
      </c>
      <c r="C2416" s="175" t="s">
        <v>2509</v>
      </c>
      <c r="F2416" s="161"/>
      <c r="K2416" s="176"/>
    </row>
    <row r="2417" spans="2:11" x14ac:dyDescent="0.3">
      <c r="B2417" s="179">
        <v>88433</v>
      </c>
      <c r="C2417" s="175" t="s">
        <v>2510</v>
      </c>
      <c r="F2417" s="161"/>
      <c r="K2417" s="176"/>
    </row>
    <row r="2418" spans="2:11" x14ac:dyDescent="0.3">
      <c r="B2418" s="179">
        <v>88614</v>
      </c>
      <c r="C2418" s="175" t="s">
        <v>2511</v>
      </c>
      <c r="F2418" s="161"/>
      <c r="K2418" s="176"/>
    </row>
    <row r="2419" spans="2:11" x14ac:dyDescent="0.3">
      <c r="B2419" s="179">
        <v>88617</v>
      </c>
      <c r="C2419" s="175" t="s">
        <v>2512</v>
      </c>
      <c r="F2419" s="161"/>
      <c r="K2419" s="176"/>
    </row>
    <row r="2420" spans="2:11" x14ac:dyDescent="0.3">
      <c r="B2420" s="179">
        <v>88618</v>
      </c>
      <c r="C2420" s="175" t="s">
        <v>2513</v>
      </c>
      <c r="F2420" s="161"/>
      <c r="K2420" s="176"/>
    </row>
    <row r="2421" spans="2:11" x14ac:dyDescent="0.3">
      <c r="B2421" s="179">
        <v>88620</v>
      </c>
      <c r="C2421" s="175" t="s">
        <v>2514</v>
      </c>
      <c r="F2421" s="161"/>
      <c r="K2421" s="176"/>
    </row>
    <row r="2422" spans="2:11" x14ac:dyDescent="0.3">
      <c r="B2422" s="179">
        <v>88621</v>
      </c>
      <c r="C2422" s="175" t="s">
        <v>2515</v>
      </c>
      <c r="F2422" s="161"/>
      <c r="K2422" s="176"/>
    </row>
    <row r="2423" spans="2:11" x14ac:dyDescent="0.3">
      <c r="B2423" s="179">
        <v>88623</v>
      </c>
      <c r="C2423" s="175" t="s">
        <v>2516</v>
      </c>
      <c r="F2423" s="161"/>
      <c r="K2423" s="176"/>
    </row>
    <row r="2424" spans="2:11" x14ac:dyDescent="0.3">
      <c r="B2424" s="179">
        <v>89549</v>
      </c>
      <c r="C2424" s="175" t="s">
        <v>2517</v>
      </c>
      <c r="F2424" s="161"/>
      <c r="K2424" s="176"/>
    </row>
    <row r="2425" spans="2:11" x14ac:dyDescent="0.3">
      <c r="B2425" s="179">
        <v>1938</v>
      </c>
      <c r="C2425" s="175" t="s">
        <v>2518</v>
      </c>
      <c r="F2425" s="161"/>
      <c r="K2425" s="176"/>
    </row>
    <row r="2426" spans="2:11" x14ac:dyDescent="0.3">
      <c r="B2426" s="179">
        <v>100619</v>
      </c>
      <c r="C2426" s="175" t="s">
        <v>2519</v>
      </c>
      <c r="F2426" s="161"/>
      <c r="K2426" s="176"/>
    </row>
    <row r="2427" spans="2:11" x14ac:dyDescent="0.3">
      <c r="B2427" s="179">
        <v>100620</v>
      </c>
      <c r="C2427" s="175" t="s">
        <v>2520</v>
      </c>
      <c r="F2427" s="161"/>
      <c r="K2427" s="176"/>
    </row>
    <row r="2428" spans="2:11" x14ac:dyDescent="0.3">
      <c r="B2428" s="179">
        <v>100621</v>
      </c>
      <c r="C2428" s="175" t="s">
        <v>2521</v>
      </c>
      <c r="F2428" s="161"/>
      <c r="K2428" s="176"/>
    </row>
    <row r="2429" spans="2:11" x14ac:dyDescent="0.3">
      <c r="B2429" s="179">
        <v>86061</v>
      </c>
      <c r="C2429" s="175" t="s">
        <v>2522</v>
      </c>
      <c r="F2429" s="161"/>
      <c r="K2429" s="176"/>
    </row>
    <row r="2430" spans="2:11" x14ac:dyDescent="0.3">
      <c r="B2430" s="179">
        <v>87455</v>
      </c>
      <c r="C2430" s="175" t="s">
        <v>2523</v>
      </c>
      <c r="F2430" s="161"/>
      <c r="K2430" s="176"/>
    </row>
    <row r="2431" spans="2:11" x14ac:dyDescent="0.3">
      <c r="B2431" s="179">
        <v>87543</v>
      </c>
      <c r="C2431" s="175" t="s">
        <v>2524</v>
      </c>
      <c r="F2431" s="161"/>
      <c r="K2431" s="176"/>
    </row>
    <row r="2432" spans="2:11" x14ac:dyDescent="0.3">
      <c r="B2432" s="179">
        <v>87809</v>
      </c>
      <c r="C2432" s="175" t="s">
        <v>2525</v>
      </c>
      <c r="F2432" s="161"/>
      <c r="K2432" s="176"/>
    </row>
    <row r="2433" spans="2:11" x14ac:dyDescent="0.3">
      <c r="B2433" s="179">
        <v>87945</v>
      </c>
      <c r="C2433" s="175" t="s">
        <v>2526</v>
      </c>
      <c r="F2433" s="161"/>
      <c r="K2433" s="176"/>
    </row>
    <row r="2434" spans="2:11" x14ac:dyDescent="0.3">
      <c r="B2434" s="179">
        <v>89953</v>
      </c>
      <c r="C2434" s="175" t="s">
        <v>2527</v>
      </c>
      <c r="F2434" s="161"/>
      <c r="K2434" s="176"/>
    </row>
    <row r="2435" spans="2:11" x14ac:dyDescent="0.3">
      <c r="B2435" s="179">
        <v>89995</v>
      </c>
      <c r="C2435" s="175" t="s">
        <v>2528</v>
      </c>
      <c r="F2435" s="161"/>
      <c r="K2435" s="176"/>
    </row>
    <row r="2436" spans="2:11" x14ac:dyDescent="0.3">
      <c r="B2436" s="179">
        <v>1884</v>
      </c>
      <c r="C2436" s="175" t="s">
        <v>2529</v>
      </c>
      <c r="F2436" s="161"/>
      <c r="K2436" s="176"/>
    </row>
    <row r="2437" spans="2:11" x14ac:dyDescent="0.3">
      <c r="B2437" s="179">
        <v>1969</v>
      </c>
      <c r="C2437" s="175" t="s">
        <v>2530</v>
      </c>
    </row>
    <row r="2438" spans="2:11" x14ac:dyDescent="0.3">
      <c r="B2438" s="179">
        <v>2946</v>
      </c>
      <c r="C2438" s="175" t="s">
        <v>2531</v>
      </c>
    </row>
    <row r="2439" spans="2:11" x14ac:dyDescent="0.3">
      <c r="B2439" s="179">
        <v>3120</v>
      </c>
      <c r="C2439" s="175" t="s">
        <v>2532</v>
      </c>
    </row>
    <row r="2440" spans="2:11" x14ac:dyDescent="0.3">
      <c r="B2440" s="179">
        <v>4146</v>
      </c>
      <c r="C2440" s="175" t="s">
        <v>2533</v>
      </c>
    </row>
    <row r="2441" spans="2:11" x14ac:dyDescent="0.3">
      <c r="B2441" s="179">
        <v>7640</v>
      </c>
      <c r="C2441" s="175" t="s">
        <v>2534</v>
      </c>
    </row>
    <row r="2442" spans="2:11" x14ac:dyDescent="0.3">
      <c r="B2442" s="179">
        <v>85555</v>
      </c>
      <c r="C2442" s="175" t="s">
        <v>2535</v>
      </c>
    </row>
    <row r="2443" spans="2:11" x14ac:dyDescent="0.3">
      <c r="B2443" s="179">
        <v>86012</v>
      </c>
      <c r="C2443" s="175" t="s">
        <v>2536</v>
      </c>
    </row>
    <row r="2444" spans="2:11" x14ac:dyDescent="0.3">
      <c r="B2444" s="179">
        <v>86290</v>
      </c>
      <c r="C2444" s="175" t="s">
        <v>2537</v>
      </c>
    </row>
    <row r="2445" spans="2:11" x14ac:dyDescent="0.3">
      <c r="B2445" s="179">
        <v>86291</v>
      </c>
      <c r="C2445" s="175" t="s">
        <v>2538</v>
      </c>
    </row>
    <row r="2446" spans="2:11" x14ac:dyDescent="0.3">
      <c r="B2446" s="179">
        <v>86620</v>
      </c>
      <c r="C2446" s="175" t="s">
        <v>2539</v>
      </c>
    </row>
    <row r="2447" spans="2:11" x14ac:dyDescent="0.3">
      <c r="B2447" s="179">
        <v>86623</v>
      </c>
      <c r="C2447" s="175" t="s">
        <v>2540</v>
      </c>
    </row>
    <row r="2448" spans="2:11" x14ac:dyDescent="0.3">
      <c r="B2448" s="179">
        <v>87610</v>
      </c>
      <c r="C2448" s="175" t="s">
        <v>2541</v>
      </c>
    </row>
    <row r="2449" spans="2:3" x14ac:dyDescent="0.3">
      <c r="B2449" s="179">
        <v>88982</v>
      </c>
      <c r="C2449" s="175" t="s">
        <v>2542</v>
      </c>
    </row>
    <row r="2450" spans="2:3" x14ac:dyDescent="0.3">
      <c r="B2450" s="179">
        <v>89254</v>
      </c>
      <c r="C2450" s="175" t="s">
        <v>2543</v>
      </c>
    </row>
    <row r="2451" spans="2:3" x14ac:dyDescent="0.3">
      <c r="B2451" s="179">
        <v>89259</v>
      </c>
      <c r="C2451" s="175" t="s">
        <v>2544</v>
      </c>
    </row>
    <row r="2452" spans="2:3" x14ac:dyDescent="0.3">
      <c r="B2452" s="179">
        <v>89708</v>
      </c>
      <c r="C2452" s="175" t="s">
        <v>2545</v>
      </c>
    </row>
    <row r="2453" spans="2:3" x14ac:dyDescent="0.3">
      <c r="B2453" s="179">
        <v>89745</v>
      </c>
      <c r="C2453" s="175" t="s">
        <v>2546</v>
      </c>
    </row>
    <row r="2454" spans="2:3" x14ac:dyDescent="0.3">
      <c r="B2454" s="179">
        <v>89766</v>
      </c>
      <c r="C2454" s="175" t="s">
        <v>2547</v>
      </c>
    </row>
    <row r="2455" spans="2:3" x14ac:dyDescent="0.3">
      <c r="B2455" s="179">
        <v>89944</v>
      </c>
      <c r="C2455" s="175" t="s">
        <v>2548</v>
      </c>
    </row>
    <row r="2456" spans="2:3" x14ac:dyDescent="0.3">
      <c r="B2456" s="179">
        <v>89945</v>
      </c>
      <c r="C2456" s="175" t="s">
        <v>2549</v>
      </c>
    </row>
    <row r="2457" spans="2:3" x14ac:dyDescent="0.3">
      <c r="B2457" s="179">
        <v>89949</v>
      </c>
      <c r="C2457" s="175" t="s">
        <v>2550</v>
      </c>
    </row>
    <row r="2458" spans="2:3" x14ac:dyDescent="0.3">
      <c r="B2458" s="179">
        <v>91218</v>
      </c>
      <c r="C2458" s="175" t="s">
        <v>2551</v>
      </c>
    </row>
    <row r="2459" spans="2:3" x14ac:dyDescent="0.3">
      <c r="B2459" s="179">
        <v>100652</v>
      </c>
      <c r="C2459" s="175" t="s">
        <v>2552</v>
      </c>
    </row>
    <row r="2460" spans="2:3" x14ac:dyDescent="0.3">
      <c r="B2460" s="179">
        <v>1455</v>
      </c>
      <c r="C2460" s="175" t="s">
        <v>2553</v>
      </c>
    </row>
    <row r="2461" spans="2:3" x14ac:dyDescent="0.3">
      <c r="B2461" s="179">
        <v>1589</v>
      </c>
      <c r="C2461" s="175" t="s">
        <v>2554</v>
      </c>
    </row>
    <row r="2462" spans="2:3" x14ac:dyDescent="0.3">
      <c r="B2462" s="179">
        <v>2358</v>
      </c>
      <c r="C2462" s="175" t="s">
        <v>2555</v>
      </c>
    </row>
    <row r="2463" spans="2:3" x14ac:dyDescent="0.3">
      <c r="B2463" s="179">
        <v>2581</v>
      </c>
      <c r="C2463" s="175" t="s">
        <v>1790</v>
      </c>
    </row>
    <row r="2464" spans="2:3" x14ac:dyDescent="0.3">
      <c r="B2464" s="179">
        <v>4703</v>
      </c>
      <c r="C2464" s="175" t="s">
        <v>2556</v>
      </c>
    </row>
    <row r="2465" spans="2:3" x14ac:dyDescent="0.3">
      <c r="B2465" s="179">
        <v>4704</v>
      </c>
      <c r="C2465" s="175" t="s">
        <v>2557</v>
      </c>
    </row>
    <row r="2466" spans="2:3" x14ac:dyDescent="0.3">
      <c r="B2466" s="179">
        <v>5397</v>
      </c>
      <c r="C2466" s="175" t="s">
        <v>2558</v>
      </c>
    </row>
    <row r="2467" spans="2:3" x14ac:dyDescent="0.3">
      <c r="B2467" s="179">
        <v>5616</v>
      </c>
      <c r="C2467" s="175" t="s">
        <v>2559</v>
      </c>
    </row>
    <row r="2468" spans="2:3" x14ac:dyDescent="0.3">
      <c r="B2468" s="179">
        <v>5642</v>
      </c>
      <c r="C2468" s="175" t="s">
        <v>2560</v>
      </c>
    </row>
    <row r="2469" spans="2:3" x14ac:dyDescent="0.3">
      <c r="B2469" s="179">
        <v>6023</v>
      </c>
      <c r="C2469" s="175" t="s">
        <v>2561</v>
      </c>
    </row>
    <row r="2470" spans="2:3" x14ac:dyDescent="0.3">
      <c r="B2470" s="179">
        <v>78447</v>
      </c>
      <c r="C2470" s="175" t="s">
        <v>2562</v>
      </c>
    </row>
    <row r="2471" spans="2:3" x14ac:dyDescent="0.3">
      <c r="B2471" s="179">
        <v>83615</v>
      </c>
      <c r="C2471" s="175" t="s">
        <v>2563</v>
      </c>
    </row>
    <row r="2472" spans="2:3" x14ac:dyDescent="0.3">
      <c r="B2472" s="179">
        <v>90726</v>
      </c>
      <c r="C2472" s="175" t="s">
        <v>2564</v>
      </c>
    </row>
    <row r="2473" spans="2:3" x14ac:dyDescent="0.3">
      <c r="B2473" s="179">
        <v>90919</v>
      </c>
      <c r="C2473" s="175" t="s">
        <v>2565</v>
      </c>
    </row>
    <row r="2474" spans="2:3" x14ac:dyDescent="0.3">
      <c r="B2474" s="179">
        <v>100562</v>
      </c>
      <c r="C2474" s="175" t="s">
        <v>2566</v>
      </c>
    </row>
    <row r="2475" spans="2:3" x14ac:dyDescent="0.3">
      <c r="B2475" s="179">
        <v>100886</v>
      </c>
      <c r="C2475" s="175" t="s">
        <v>2567</v>
      </c>
    </row>
    <row r="2476" spans="2:3" x14ac:dyDescent="0.3">
      <c r="B2476" s="179">
        <v>100983</v>
      </c>
      <c r="C2476" s="175" t="s">
        <v>2568</v>
      </c>
    </row>
    <row r="2477" spans="2:3" x14ac:dyDescent="0.3">
      <c r="B2477" s="179">
        <v>100984</v>
      </c>
      <c r="C2477" s="175" t="s">
        <v>2569</v>
      </c>
    </row>
    <row r="2478" spans="2:3" x14ac:dyDescent="0.3">
      <c r="B2478" s="179">
        <v>86397</v>
      </c>
      <c r="C2478" s="175" t="s">
        <v>2570</v>
      </c>
    </row>
    <row r="2479" spans="2:3" x14ac:dyDescent="0.3">
      <c r="B2479" s="179">
        <v>88708</v>
      </c>
      <c r="C2479" s="175" t="s">
        <v>2571</v>
      </c>
    </row>
    <row r="2480" spans="2:3" x14ac:dyDescent="0.3">
      <c r="B2480" s="179">
        <v>88755</v>
      </c>
      <c r="C2480" s="175" t="s">
        <v>2572</v>
      </c>
    </row>
    <row r="2481" spans="2:3" x14ac:dyDescent="0.3">
      <c r="B2481" s="179">
        <v>89558</v>
      </c>
      <c r="C2481" s="175" t="s">
        <v>2573</v>
      </c>
    </row>
    <row r="2482" spans="2:3" x14ac:dyDescent="0.3">
      <c r="B2482" s="179">
        <v>90215</v>
      </c>
      <c r="C2482" s="175" t="s">
        <v>2574</v>
      </c>
    </row>
    <row r="2483" spans="2:3" x14ac:dyDescent="0.3">
      <c r="B2483" s="179">
        <v>91012</v>
      </c>
      <c r="C2483" s="175" t="s">
        <v>2575</v>
      </c>
    </row>
    <row r="2484" spans="2:3" x14ac:dyDescent="0.3">
      <c r="B2484" s="179">
        <v>100510</v>
      </c>
      <c r="C2484" s="175" t="s">
        <v>2576</v>
      </c>
    </row>
    <row r="2485" spans="2:3" x14ac:dyDescent="0.3">
      <c r="B2485" s="179">
        <v>100923</v>
      </c>
      <c r="C2485" s="175" t="s">
        <v>2577</v>
      </c>
    </row>
    <row r="2486" spans="2:3" x14ac:dyDescent="0.3">
      <c r="B2486" s="179">
        <v>2580</v>
      </c>
      <c r="C2486" s="175" t="s">
        <v>2578</v>
      </c>
    </row>
    <row r="2487" spans="2:3" x14ac:dyDescent="0.3">
      <c r="B2487" s="179">
        <v>2780</v>
      </c>
      <c r="C2487" s="175" t="s">
        <v>2579</v>
      </c>
    </row>
    <row r="2488" spans="2:3" x14ac:dyDescent="0.3">
      <c r="B2488" s="179">
        <v>5494</v>
      </c>
      <c r="C2488" s="175" t="s">
        <v>2580</v>
      </c>
    </row>
    <row r="2489" spans="2:3" x14ac:dyDescent="0.3">
      <c r="B2489" s="179">
        <v>25720</v>
      </c>
      <c r="C2489" s="175" t="s">
        <v>2581</v>
      </c>
    </row>
    <row r="2490" spans="2:3" x14ac:dyDescent="0.3">
      <c r="B2490" s="179">
        <v>91167</v>
      </c>
      <c r="C2490" s="175" t="s">
        <v>2582</v>
      </c>
    </row>
    <row r="2491" spans="2:3" x14ac:dyDescent="0.3">
      <c r="B2491" s="179">
        <v>100827</v>
      </c>
      <c r="C2491" s="175" t="s">
        <v>2583</v>
      </c>
    </row>
    <row r="2492" spans="2:3" x14ac:dyDescent="0.3">
      <c r="B2492" s="179">
        <v>101127</v>
      </c>
      <c r="C2492" s="175" t="s">
        <v>2584</v>
      </c>
    </row>
    <row r="2493" spans="2:3" x14ac:dyDescent="0.3">
      <c r="B2493" s="179">
        <v>87615</v>
      </c>
      <c r="C2493" s="175" t="s">
        <v>2585</v>
      </c>
    </row>
    <row r="2494" spans="2:3" x14ac:dyDescent="0.3">
      <c r="B2494" s="179">
        <v>87616</v>
      </c>
      <c r="C2494" s="175" t="s">
        <v>2586</v>
      </c>
    </row>
    <row r="2495" spans="2:3" x14ac:dyDescent="0.3">
      <c r="B2495" s="179">
        <v>87662</v>
      </c>
      <c r="C2495" s="175" t="s">
        <v>2587</v>
      </c>
    </row>
    <row r="2496" spans="2:3" x14ac:dyDescent="0.3">
      <c r="B2496" s="179">
        <v>87861</v>
      </c>
      <c r="C2496" s="175" t="s">
        <v>2588</v>
      </c>
    </row>
    <row r="2497" spans="2:3" x14ac:dyDescent="0.3">
      <c r="B2497" s="179">
        <v>88584</v>
      </c>
      <c r="C2497" s="175" t="s">
        <v>2589</v>
      </c>
    </row>
    <row r="2498" spans="2:3" x14ac:dyDescent="0.3">
      <c r="B2498" s="179">
        <v>90185</v>
      </c>
      <c r="C2498" s="175" t="s">
        <v>2590</v>
      </c>
    </row>
    <row r="2499" spans="2:3" x14ac:dyDescent="0.3">
      <c r="B2499" s="179">
        <v>3069</v>
      </c>
      <c r="C2499" s="175" t="s">
        <v>2591</v>
      </c>
    </row>
    <row r="2500" spans="2:3" x14ac:dyDescent="0.3">
      <c r="B2500" s="179">
        <v>36971</v>
      </c>
      <c r="C2500" s="175" t="s">
        <v>2592</v>
      </c>
    </row>
    <row r="2501" spans="2:3" x14ac:dyDescent="0.3">
      <c r="B2501" s="179">
        <v>91055</v>
      </c>
      <c r="C2501" s="175" t="s">
        <v>2593</v>
      </c>
    </row>
    <row r="2502" spans="2:3" x14ac:dyDescent="0.3">
      <c r="B2502" s="179">
        <v>91056</v>
      </c>
      <c r="C2502" s="175" t="s">
        <v>2594</v>
      </c>
    </row>
    <row r="2503" spans="2:3" x14ac:dyDescent="0.3">
      <c r="B2503" s="179">
        <v>91063</v>
      </c>
      <c r="C2503" s="175" t="s">
        <v>2595</v>
      </c>
    </row>
    <row r="2504" spans="2:3" x14ac:dyDescent="0.3">
      <c r="B2504" s="179">
        <v>101299</v>
      </c>
      <c r="C2504" s="175" t="s">
        <v>2596</v>
      </c>
    </row>
    <row r="2505" spans="2:3" x14ac:dyDescent="0.3">
      <c r="B2505" s="179">
        <v>87617</v>
      </c>
      <c r="C2505" s="175" t="s">
        <v>2597</v>
      </c>
    </row>
    <row r="2506" spans="2:3" x14ac:dyDescent="0.3">
      <c r="B2506" s="179">
        <v>88745</v>
      </c>
      <c r="C2506" s="175" t="s">
        <v>2598</v>
      </c>
    </row>
    <row r="2507" spans="2:3" x14ac:dyDescent="0.3">
      <c r="B2507" s="179">
        <v>88778</v>
      </c>
      <c r="C2507" s="175" t="s">
        <v>2599</v>
      </c>
    </row>
    <row r="2508" spans="2:3" x14ac:dyDescent="0.3">
      <c r="B2508" s="179">
        <v>89164</v>
      </c>
      <c r="C2508" s="175" t="s">
        <v>2600</v>
      </c>
    </row>
    <row r="2509" spans="2:3" x14ac:dyDescent="0.3">
      <c r="B2509" s="179">
        <v>89165</v>
      </c>
      <c r="C2509" s="175" t="s">
        <v>2601</v>
      </c>
    </row>
    <row r="2510" spans="2:3" x14ac:dyDescent="0.3">
      <c r="B2510" s="179">
        <v>89823</v>
      </c>
      <c r="C2510" s="175" t="s">
        <v>2602</v>
      </c>
    </row>
    <row r="2511" spans="2:3" x14ac:dyDescent="0.3">
      <c r="B2511" s="179">
        <v>90981</v>
      </c>
      <c r="C2511" s="175" t="s">
        <v>2603</v>
      </c>
    </row>
    <row r="2512" spans="2:3" x14ac:dyDescent="0.3">
      <c r="B2512" s="179">
        <v>100784</v>
      </c>
      <c r="C2512" s="175" t="s">
        <v>2604</v>
      </c>
    </row>
    <row r="2513" spans="2:3" x14ac:dyDescent="0.3">
      <c r="B2513" s="179">
        <v>101301</v>
      </c>
      <c r="C2513" s="175" t="s">
        <v>2605</v>
      </c>
    </row>
    <row r="2514" spans="2:3" x14ac:dyDescent="0.3">
      <c r="B2514" s="179">
        <v>2066</v>
      </c>
      <c r="C2514" s="175" t="s">
        <v>2606</v>
      </c>
    </row>
    <row r="2515" spans="2:3" x14ac:dyDescent="0.3">
      <c r="B2515" s="179">
        <v>4117</v>
      </c>
      <c r="C2515" s="175" t="s">
        <v>2607</v>
      </c>
    </row>
    <row r="2516" spans="2:3" x14ac:dyDescent="0.3">
      <c r="B2516" s="179">
        <v>6003</v>
      </c>
      <c r="C2516" s="175" t="s">
        <v>2608</v>
      </c>
    </row>
    <row r="2517" spans="2:3" x14ac:dyDescent="0.3">
      <c r="B2517" s="179">
        <v>6283</v>
      </c>
      <c r="C2517" s="175" t="s">
        <v>2609</v>
      </c>
    </row>
    <row r="2518" spans="2:3" x14ac:dyDescent="0.3">
      <c r="B2518" s="179">
        <v>90620</v>
      </c>
      <c r="C2518" s="175" t="s">
        <v>2610</v>
      </c>
    </row>
    <row r="2519" spans="2:3" x14ac:dyDescent="0.3">
      <c r="B2519" s="179">
        <v>101047</v>
      </c>
      <c r="C2519" s="175" t="s">
        <v>2611</v>
      </c>
    </row>
    <row r="2520" spans="2:3" x14ac:dyDescent="0.3">
      <c r="B2520" s="179">
        <v>88616</v>
      </c>
      <c r="C2520" s="175" t="s">
        <v>2612</v>
      </c>
    </row>
    <row r="2521" spans="2:3" x14ac:dyDescent="0.3">
      <c r="B2521" s="179">
        <v>88712</v>
      </c>
      <c r="C2521" s="175" t="s">
        <v>2613</v>
      </c>
    </row>
    <row r="2522" spans="2:3" x14ac:dyDescent="0.3">
      <c r="B2522" s="179">
        <v>89564</v>
      </c>
      <c r="C2522" s="175" t="s">
        <v>2614</v>
      </c>
    </row>
    <row r="2523" spans="2:3" x14ac:dyDescent="0.3">
      <c r="B2523" s="179">
        <v>89808</v>
      </c>
      <c r="C2523" s="175" t="s">
        <v>2615</v>
      </c>
    </row>
    <row r="2524" spans="2:3" x14ac:dyDescent="0.3">
      <c r="B2524" s="179">
        <v>90536</v>
      </c>
      <c r="C2524" s="175" t="s">
        <v>2616</v>
      </c>
    </row>
    <row r="2525" spans="2:3" x14ac:dyDescent="0.3">
      <c r="B2525" s="179">
        <v>90888</v>
      </c>
      <c r="C2525" s="175" t="s">
        <v>2617</v>
      </c>
    </row>
    <row r="2526" spans="2:3" x14ac:dyDescent="0.3">
      <c r="B2526" s="179">
        <v>3830</v>
      </c>
      <c r="C2526" s="175" t="s">
        <v>2618</v>
      </c>
    </row>
    <row r="2527" spans="2:3" x14ac:dyDescent="0.3">
      <c r="B2527" s="179">
        <v>6022</v>
      </c>
      <c r="C2527" s="175" t="s">
        <v>2619</v>
      </c>
    </row>
    <row r="2528" spans="2:3" x14ac:dyDescent="0.3">
      <c r="B2528" s="179">
        <v>7607</v>
      </c>
      <c r="C2528" s="175" t="s">
        <v>2620</v>
      </c>
    </row>
    <row r="2529" spans="2:3" x14ac:dyDescent="0.3">
      <c r="B2529" s="179">
        <v>91176</v>
      </c>
      <c r="C2529" s="175" t="s">
        <v>2621</v>
      </c>
    </row>
    <row r="2530" spans="2:3" x14ac:dyDescent="0.3">
      <c r="B2530" s="179">
        <v>100793</v>
      </c>
      <c r="C2530" s="175" t="s">
        <v>2622</v>
      </c>
    </row>
    <row r="2531" spans="2:3" x14ac:dyDescent="0.3">
      <c r="B2531" s="179">
        <v>100804</v>
      </c>
      <c r="C2531" s="175" t="s">
        <v>2623</v>
      </c>
    </row>
    <row r="2532" spans="2:3" x14ac:dyDescent="0.3">
      <c r="B2532" s="179">
        <v>101267</v>
      </c>
      <c r="C2532" s="175" t="s">
        <v>2624</v>
      </c>
    </row>
    <row r="2533" spans="2:3" x14ac:dyDescent="0.3">
      <c r="B2533" s="179">
        <v>87365</v>
      </c>
      <c r="C2533" s="175" t="s">
        <v>2625</v>
      </c>
    </row>
    <row r="2534" spans="2:3" x14ac:dyDescent="0.3">
      <c r="B2534" s="179">
        <v>89480</v>
      </c>
      <c r="C2534" s="175" t="s">
        <v>2626</v>
      </c>
    </row>
    <row r="2535" spans="2:3" x14ac:dyDescent="0.3">
      <c r="B2535" s="179">
        <v>89489</v>
      </c>
      <c r="C2535" s="175" t="s">
        <v>2627</v>
      </c>
    </row>
    <row r="2536" spans="2:3" x14ac:dyDescent="0.3">
      <c r="B2536" s="179">
        <v>89801</v>
      </c>
      <c r="C2536" s="175" t="s">
        <v>2628</v>
      </c>
    </row>
    <row r="2537" spans="2:3" x14ac:dyDescent="0.3">
      <c r="B2537" s="179">
        <v>89802</v>
      </c>
      <c r="C2537" s="175" t="s">
        <v>2629</v>
      </c>
    </row>
    <row r="2538" spans="2:3" x14ac:dyDescent="0.3">
      <c r="B2538" s="179">
        <v>100843</v>
      </c>
      <c r="C2538" s="175" t="s">
        <v>2630</v>
      </c>
    </row>
    <row r="2539" spans="2:3" x14ac:dyDescent="0.3">
      <c r="B2539" s="179">
        <v>100930</v>
      </c>
      <c r="C2539" s="175" t="s">
        <v>2631</v>
      </c>
    </row>
    <row r="2540" spans="2:3" x14ac:dyDescent="0.3">
      <c r="B2540" s="179">
        <v>101166</v>
      </c>
      <c r="C2540" s="175" t="s">
        <v>2632</v>
      </c>
    </row>
    <row r="2541" spans="2:3" x14ac:dyDescent="0.3">
      <c r="B2541" s="179">
        <v>1977</v>
      </c>
      <c r="C2541" s="175" t="s">
        <v>2633</v>
      </c>
    </row>
    <row r="2542" spans="2:3" x14ac:dyDescent="0.3">
      <c r="B2542" s="179">
        <v>5980</v>
      </c>
      <c r="C2542" s="175" t="s">
        <v>2634</v>
      </c>
    </row>
    <row r="2543" spans="2:3" x14ac:dyDescent="0.3">
      <c r="B2543" s="179">
        <v>101399</v>
      </c>
      <c r="C2543" s="175" t="s">
        <v>2635</v>
      </c>
    </row>
    <row r="2544" spans="2:3" x14ac:dyDescent="0.3">
      <c r="B2544" s="179">
        <v>101475</v>
      </c>
      <c r="C2544" s="175" t="s">
        <v>2636</v>
      </c>
    </row>
    <row r="2545" spans="2:3" x14ac:dyDescent="0.3">
      <c r="B2545" s="179">
        <v>85361</v>
      </c>
      <c r="C2545" s="175" t="s">
        <v>2637</v>
      </c>
    </row>
    <row r="2546" spans="2:3" x14ac:dyDescent="0.3">
      <c r="B2546" s="179">
        <v>86122</v>
      </c>
      <c r="C2546" s="175" t="s">
        <v>2638</v>
      </c>
    </row>
    <row r="2547" spans="2:3" x14ac:dyDescent="0.3">
      <c r="B2547" s="179">
        <v>86433</v>
      </c>
      <c r="C2547" s="175" t="s">
        <v>2639</v>
      </c>
    </row>
    <row r="2548" spans="2:3" x14ac:dyDescent="0.3">
      <c r="B2548" s="179">
        <v>87277</v>
      </c>
      <c r="C2548" s="175" t="s">
        <v>2640</v>
      </c>
    </row>
    <row r="2549" spans="2:3" x14ac:dyDescent="0.3">
      <c r="B2549" s="179">
        <v>87513</v>
      </c>
      <c r="C2549" s="175" t="s">
        <v>2641</v>
      </c>
    </row>
    <row r="2550" spans="2:3" x14ac:dyDescent="0.3">
      <c r="B2550" s="179">
        <v>87993</v>
      </c>
      <c r="C2550" s="175" t="s">
        <v>2642</v>
      </c>
    </row>
    <row r="2551" spans="2:3" x14ac:dyDescent="0.3">
      <c r="B2551" s="179">
        <v>88151</v>
      </c>
      <c r="C2551" s="175" t="s">
        <v>2643</v>
      </c>
    </row>
    <row r="2552" spans="2:3" x14ac:dyDescent="0.3">
      <c r="B2552" s="179">
        <v>88742</v>
      </c>
      <c r="C2552" s="175" t="s">
        <v>2644</v>
      </c>
    </row>
    <row r="2553" spans="2:3" x14ac:dyDescent="0.3">
      <c r="B2553" s="179">
        <v>89519</v>
      </c>
      <c r="C2553" s="175" t="s">
        <v>2645</v>
      </c>
    </row>
    <row r="2554" spans="2:3" x14ac:dyDescent="0.3">
      <c r="B2554" s="179">
        <v>90026</v>
      </c>
      <c r="C2554" s="175" t="s">
        <v>2646</v>
      </c>
    </row>
    <row r="2555" spans="2:3" x14ac:dyDescent="0.3">
      <c r="B2555" s="179">
        <v>90289</v>
      </c>
      <c r="C2555" s="175" t="s">
        <v>2647</v>
      </c>
    </row>
    <row r="2556" spans="2:3" x14ac:dyDescent="0.3">
      <c r="B2556" s="179">
        <v>90599</v>
      </c>
      <c r="C2556" s="175" t="s">
        <v>2648</v>
      </c>
    </row>
    <row r="2557" spans="2:3" x14ac:dyDescent="0.3">
      <c r="B2557" s="179">
        <v>100796</v>
      </c>
      <c r="C2557" s="175" t="s">
        <v>2649</v>
      </c>
    </row>
    <row r="2558" spans="2:3" x14ac:dyDescent="0.3">
      <c r="B2558" s="179">
        <v>101268</v>
      </c>
      <c r="C2558" s="175" t="s">
        <v>2650</v>
      </c>
    </row>
    <row r="2559" spans="2:3" x14ac:dyDescent="0.3">
      <c r="B2559" s="179">
        <v>101457</v>
      </c>
      <c r="C2559" s="175" t="s">
        <v>2651</v>
      </c>
    </row>
    <row r="2560" spans="2:3" x14ac:dyDescent="0.3">
      <c r="B2560" s="179">
        <v>1959</v>
      </c>
      <c r="C2560" s="175" t="s">
        <v>2652</v>
      </c>
    </row>
    <row r="2561" spans="2:3" x14ac:dyDescent="0.3">
      <c r="B2561" s="179">
        <v>2746</v>
      </c>
      <c r="C2561" s="175" t="s">
        <v>2653</v>
      </c>
    </row>
    <row r="2562" spans="2:3" x14ac:dyDescent="0.3">
      <c r="B2562" s="179">
        <v>2748</v>
      </c>
      <c r="C2562" s="175" t="s">
        <v>2654</v>
      </c>
    </row>
    <row r="2563" spans="2:3" x14ac:dyDescent="0.3">
      <c r="B2563" s="179">
        <v>2907</v>
      </c>
      <c r="C2563" s="175" t="s">
        <v>2655</v>
      </c>
    </row>
    <row r="2564" spans="2:3" x14ac:dyDescent="0.3">
      <c r="B2564" s="179">
        <v>4112</v>
      </c>
      <c r="C2564" s="175" t="s">
        <v>2656</v>
      </c>
    </row>
    <row r="2565" spans="2:3" x14ac:dyDescent="0.3">
      <c r="B2565" s="179">
        <v>6235</v>
      </c>
      <c r="C2565" s="175" t="s">
        <v>2657</v>
      </c>
    </row>
    <row r="2566" spans="2:3" x14ac:dyDescent="0.3">
      <c r="B2566" s="179">
        <v>21883</v>
      </c>
      <c r="C2566" s="175" t="s">
        <v>2658</v>
      </c>
    </row>
    <row r="2567" spans="2:3" x14ac:dyDescent="0.3">
      <c r="B2567" s="179">
        <v>91242</v>
      </c>
      <c r="C2567" s="175" t="s">
        <v>2659</v>
      </c>
    </row>
    <row r="2568" spans="2:3" x14ac:dyDescent="0.3">
      <c r="B2568" s="179">
        <v>91243</v>
      </c>
      <c r="C2568" s="175" t="s">
        <v>2660</v>
      </c>
    </row>
    <row r="2569" spans="2:3" x14ac:dyDescent="0.3">
      <c r="B2569" s="179">
        <v>100660</v>
      </c>
      <c r="C2569" s="175" t="s">
        <v>2661</v>
      </c>
    </row>
    <row r="2570" spans="2:3" x14ac:dyDescent="0.3">
      <c r="B2570" s="179">
        <v>89545</v>
      </c>
      <c r="C2570" s="175" t="s">
        <v>2662</v>
      </c>
    </row>
    <row r="2571" spans="2:3" x14ac:dyDescent="0.3">
      <c r="B2571" s="179">
        <v>100732</v>
      </c>
      <c r="C2571" s="175" t="s">
        <v>2663</v>
      </c>
    </row>
    <row r="2572" spans="2:3" x14ac:dyDescent="0.3">
      <c r="B2572" s="179">
        <v>100737</v>
      </c>
      <c r="C2572" s="175" t="s">
        <v>2664</v>
      </c>
    </row>
    <row r="2573" spans="2:3" x14ac:dyDescent="0.3">
      <c r="B2573" s="179">
        <v>100775</v>
      </c>
      <c r="C2573" s="175" t="s">
        <v>2665</v>
      </c>
    </row>
    <row r="2574" spans="2:3" x14ac:dyDescent="0.3">
      <c r="B2574" s="179">
        <v>100839</v>
      </c>
      <c r="C2574" s="175" t="s">
        <v>2666</v>
      </c>
    </row>
    <row r="2575" spans="2:3" x14ac:dyDescent="0.3">
      <c r="B2575" s="179">
        <v>100847</v>
      </c>
      <c r="C2575" s="175" t="s">
        <v>2667</v>
      </c>
    </row>
    <row r="2576" spans="2:3" x14ac:dyDescent="0.3">
      <c r="B2576" s="179">
        <v>101197</v>
      </c>
      <c r="C2576" s="175" t="s">
        <v>2668</v>
      </c>
    </row>
    <row r="2577" spans="2:3" x14ac:dyDescent="0.3">
      <c r="B2577" s="179">
        <v>101237</v>
      </c>
      <c r="C2577" s="175" t="s">
        <v>2669</v>
      </c>
    </row>
    <row r="2578" spans="2:3" x14ac:dyDescent="0.3">
      <c r="B2578" s="179">
        <v>101392</v>
      </c>
      <c r="C2578" s="175" t="s">
        <v>2670</v>
      </c>
    </row>
    <row r="2579" spans="2:3" x14ac:dyDescent="0.3">
      <c r="B2579" s="179">
        <v>3167</v>
      </c>
      <c r="C2579" s="175" t="s">
        <v>2671</v>
      </c>
    </row>
    <row r="2580" spans="2:3" x14ac:dyDescent="0.3">
      <c r="B2580" s="179">
        <v>100734</v>
      </c>
      <c r="C2580" s="175" t="s">
        <v>2672</v>
      </c>
    </row>
    <row r="2581" spans="2:3" x14ac:dyDescent="0.3">
      <c r="B2581" s="179">
        <v>100735</v>
      </c>
      <c r="C2581" s="175" t="s">
        <v>2673</v>
      </c>
    </row>
    <row r="2582" spans="2:3" x14ac:dyDescent="0.3">
      <c r="B2582" s="179">
        <v>100848</v>
      </c>
      <c r="C2582" s="175" t="s">
        <v>2674</v>
      </c>
    </row>
    <row r="2583" spans="2:3" x14ac:dyDescent="0.3">
      <c r="B2583" s="179">
        <v>86078</v>
      </c>
      <c r="C2583" s="175" t="s">
        <v>2675</v>
      </c>
    </row>
    <row r="2584" spans="2:3" x14ac:dyDescent="0.3">
      <c r="B2584" s="179">
        <v>86388</v>
      </c>
      <c r="C2584" s="175" t="s">
        <v>2676</v>
      </c>
    </row>
    <row r="2585" spans="2:3" x14ac:dyDescent="0.3">
      <c r="B2585" s="179">
        <v>87262</v>
      </c>
      <c r="C2585" s="175" t="s">
        <v>2677</v>
      </c>
    </row>
    <row r="2586" spans="2:3" x14ac:dyDescent="0.3">
      <c r="B2586" s="179">
        <v>89066</v>
      </c>
      <c r="C2586" s="175" t="s">
        <v>2678</v>
      </c>
    </row>
    <row r="2587" spans="2:3" x14ac:dyDescent="0.3">
      <c r="B2587" s="179">
        <v>89179</v>
      </c>
      <c r="C2587" s="175" t="s">
        <v>2679</v>
      </c>
    </row>
    <row r="2588" spans="2:3" x14ac:dyDescent="0.3">
      <c r="B2588" s="179">
        <v>89368</v>
      </c>
      <c r="C2588" s="175" t="s">
        <v>2680</v>
      </c>
    </row>
    <row r="2589" spans="2:3" x14ac:dyDescent="0.3">
      <c r="B2589" s="179">
        <v>89573</v>
      </c>
      <c r="C2589" s="175" t="s">
        <v>2681</v>
      </c>
    </row>
    <row r="2590" spans="2:3" x14ac:dyDescent="0.3">
      <c r="B2590" s="179">
        <v>89754</v>
      </c>
      <c r="C2590" s="175" t="s">
        <v>2682</v>
      </c>
    </row>
    <row r="2591" spans="2:3" x14ac:dyDescent="0.3">
      <c r="B2591" s="179">
        <v>90033</v>
      </c>
      <c r="C2591" s="175" t="s">
        <v>2683</v>
      </c>
    </row>
    <row r="2592" spans="2:3" x14ac:dyDescent="0.3">
      <c r="B2592" s="179">
        <v>90243</v>
      </c>
      <c r="C2592" s="175" t="s">
        <v>2684</v>
      </c>
    </row>
    <row r="2593" spans="2:3" x14ac:dyDescent="0.3">
      <c r="B2593" s="179">
        <v>90452</v>
      </c>
      <c r="C2593" s="175" t="s">
        <v>2685</v>
      </c>
    </row>
    <row r="2594" spans="2:3" x14ac:dyDescent="0.3">
      <c r="B2594" s="179">
        <v>90610</v>
      </c>
      <c r="C2594" s="175" t="s">
        <v>2686</v>
      </c>
    </row>
    <row r="2595" spans="2:3" x14ac:dyDescent="0.3">
      <c r="B2595" s="179">
        <v>101002</v>
      </c>
      <c r="C2595" s="175" t="s">
        <v>2687</v>
      </c>
    </row>
    <row r="2596" spans="2:3" x14ac:dyDescent="0.3">
      <c r="B2596" s="179">
        <v>101003</v>
      </c>
      <c r="C2596" s="175" t="s">
        <v>2688</v>
      </c>
    </row>
    <row r="2597" spans="2:3" x14ac:dyDescent="0.3">
      <c r="B2597" s="179">
        <v>101004</v>
      </c>
      <c r="C2597" s="175" t="s">
        <v>2689</v>
      </c>
    </row>
    <row r="2598" spans="2:3" x14ac:dyDescent="0.3">
      <c r="B2598" s="179">
        <v>101024</v>
      </c>
      <c r="C2598" s="175" t="s">
        <v>2690</v>
      </c>
    </row>
    <row r="2599" spans="2:3" x14ac:dyDescent="0.3">
      <c r="B2599" s="179">
        <v>101139</v>
      </c>
      <c r="C2599" s="175" t="s">
        <v>2691</v>
      </c>
    </row>
    <row r="2600" spans="2:3" x14ac:dyDescent="0.3">
      <c r="B2600" s="179">
        <v>101144</v>
      </c>
      <c r="C2600" s="175" t="s">
        <v>2692</v>
      </c>
    </row>
    <row r="2601" spans="2:3" x14ac:dyDescent="0.3">
      <c r="B2601" s="179">
        <v>101556</v>
      </c>
      <c r="C2601" s="175" t="s">
        <v>2693</v>
      </c>
    </row>
    <row r="2602" spans="2:3" x14ac:dyDescent="0.3">
      <c r="B2602" s="179">
        <v>4838</v>
      </c>
      <c r="C2602" s="175" t="s">
        <v>2694</v>
      </c>
    </row>
    <row r="2603" spans="2:3" x14ac:dyDescent="0.3">
      <c r="B2603" s="179">
        <v>90294</v>
      </c>
      <c r="C2603" s="175" t="s">
        <v>2695</v>
      </c>
    </row>
    <row r="2604" spans="2:3" x14ac:dyDescent="0.3">
      <c r="B2604" s="179">
        <v>100554</v>
      </c>
      <c r="C2604" s="175" t="s">
        <v>689</v>
      </c>
    </row>
    <row r="2605" spans="2:3" x14ac:dyDescent="0.3">
      <c r="B2605" s="179">
        <v>100810</v>
      </c>
      <c r="C2605" s="175" t="s">
        <v>2696</v>
      </c>
    </row>
    <row r="2606" spans="2:3" x14ac:dyDescent="0.3">
      <c r="B2606" s="179">
        <v>100813</v>
      </c>
      <c r="C2606" s="175" t="s">
        <v>2697</v>
      </c>
    </row>
    <row r="2607" spans="2:3" x14ac:dyDescent="0.3">
      <c r="B2607" s="179">
        <v>101140</v>
      </c>
      <c r="C2607" s="175" t="s">
        <v>2698</v>
      </c>
    </row>
    <row r="2608" spans="2:3" x14ac:dyDescent="0.3">
      <c r="B2608" s="179">
        <v>87860</v>
      </c>
      <c r="C2608" s="175" t="s">
        <v>2699</v>
      </c>
    </row>
    <row r="2609" spans="2:3" x14ac:dyDescent="0.3">
      <c r="B2609" s="179">
        <v>87998</v>
      </c>
      <c r="C2609" s="175" t="s">
        <v>2700</v>
      </c>
    </row>
    <row r="2610" spans="2:3" x14ac:dyDescent="0.3">
      <c r="B2610" s="179">
        <v>88000</v>
      </c>
      <c r="C2610" s="175" t="s">
        <v>2701</v>
      </c>
    </row>
    <row r="2611" spans="2:3" x14ac:dyDescent="0.3">
      <c r="B2611" s="179">
        <v>88074</v>
      </c>
      <c r="C2611" s="175" t="s">
        <v>2702</v>
      </c>
    </row>
    <row r="2612" spans="2:3" x14ac:dyDescent="0.3">
      <c r="B2612" s="179">
        <v>100662</v>
      </c>
      <c r="C2612" s="175" t="s">
        <v>2703</v>
      </c>
    </row>
    <row r="2613" spans="2:3" x14ac:dyDescent="0.3">
      <c r="B2613" s="179">
        <v>90005</v>
      </c>
      <c r="C2613" s="175" t="s">
        <v>2704</v>
      </c>
    </row>
    <row r="2614" spans="2:3" x14ac:dyDescent="0.3">
      <c r="B2614" s="179">
        <v>90006</v>
      </c>
      <c r="C2614" s="175" t="s">
        <v>2705</v>
      </c>
    </row>
    <row r="2615" spans="2:3" x14ac:dyDescent="0.3">
      <c r="B2615" s="179">
        <v>90007</v>
      </c>
      <c r="C2615" s="175" t="s">
        <v>2706</v>
      </c>
    </row>
    <row r="2616" spans="2:3" x14ac:dyDescent="0.3">
      <c r="B2616" s="179">
        <v>90141</v>
      </c>
      <c r="C2616" s="175" t="s">
        <v>2707</v>
      </c>
    </row>
    <row r="2617" spans="2:3" x14ac:dyDescent="0.3">
      <c r="B2617" s="179">
        <v>90334</v>
      </c>
      <c r="C2617" s="175" t="s">
        <v>2708</v>
      </c>
    </row>
    <row r="2618" spans="2:3" x14ac:dyDescent="0.3">
      <c r="B2618" s="179">
        <v>101137</v>
      </c>
      <c r="C2618" s="175" t="s">
        <v>2709</v>
      </c>
    </row>
    <row r="2619" spans="2:3" x14ac:dyDescent="0.3">
      <c r="B2619" s="179">
        <v>21467</v>
      </c>
      <c r="C2619" s="175" t="s">
        <v>2710</v>
      </c>
    </row>
    <row r="2620" spans="2:3" x14ac:dyDescent="0.3">
      <c r="B2620" s="179">
        <v>101424</v>
      </c>
      <c r="C2620" s="175" t="s">
        <v>2711</v>
      </c>
    </row>
    <row r="2621" spans="2:3" x14ac:dyDescent="0.3">
      <c r="B2621" s="179">
        <v>87444</v>
      </c>
      <c r="C2621" s="175" t="s">
        <v>2712</v>
      </c>
    </row>
    <row r="2622" spans="2:3" x14ac:dyDescent="0.3">
      <c r="B2622" s="179">
        <v>88714</v>
      </c>
      <c r="C2622" s="175" t="s">
        <v>2713</v>
      </c>
    </row>
    <row r="2623" spans="2:3" x14ac:dyDescent="0.3">
      <c r="B2623" s="179">
        <v>100981</v>
      </c>
      <c r="C2623" s="175" t="s">
        <v>2714</v>
      </c>
    </row>
    <row r="2624" spans="2:3" x14ac:dyDescent="0.3">
      <c r="B2624" s="179">
        <v>101480</v>
      </c>
      <c r="C2624" s="175" t="s">
        <v>2715</v>
      </c>
    </row>
    <row r="2625" spans="1:12" x14ac:dyDescent="0.3">
      <c r="B2625" s="179">
        <v>5985</v>
      </c>
      <c r="C2625" s="175" t="s">
        <v>2716</v>
      </c>
    </row>
    <row r="2626" spans="1:12" x14ac:dyDescent="0.3">
      <c r="B2626" s="179">
        <v>77829</v>
      </c>
      <c r="C2626" s="175" t="s">
        <v>2717</v>
      </c>
    </row>
    <row r="2627" spans="1:12" x14ac:dyDescent="0.3">
      <c r="B2627" s="179">
        <v>90997</v>
      </c>
      <c r="C2627" s="175" t="s">
        <v>2718</v>
      </c>
    </row>
    <row r="2628" spans="1:12" x14ac:dyDescent="0.3">
      <c r="B2628" s="179">
        <v>101097</v>
      </c>
      <c r="C2628" s="175" t="s">
        <v>2719</v>
      </c>
    </row>
    <row r="2629" spans="1:12" x14ac:dyDescent="0.3">
      <c r="B2629" s="179">
        <v>101559</v>
      </c>
      <c r="C2629" s="175" t="s">
        <v>2720</v>
      </c>
    </row>
    <row r="2630" spans="1:12" x14ac:dyDescent="0.3">
      <c r="A2630" s="177"/>
      <c r="B2630" s="179">
        <v>88748</v>
      </c>
      <c r="C2630" s="175" t="s">
        <v>2721</v>
      </c>
      <c r="D2630" s="177"/>
      <c r="E2630" s="177"/>
      <c r="F2630" s="177"/>
      <c r="G2630" s="177"/>
      <c r="H2630" s="177"/>
      <c r="I2630" s="177"/>
      <c r="J2630" s="177"/>
      <c r="K2630" s="177"/>
      <c r="L2630" s="177"/>
    </row>
    <row r="2631" spans="1:12" x14ac:dyDescent="0.3">
      <c r="B2631" s="179">
        <v>88957</v>
      </c>
      <c r="C2631" s="175" t="s">
        <v>2722</v>
      </c>
    </row>
    <row r="2632" spans="1:12" x14ac:dyDescent="0.3">
      <c r="B2632" s="179">
        <v>89570</v>
      </c>
      <c r="C2632" s="175" t="s">
        <v>2723</v>
      </c>
    </row>
    <row r="2633" spans="1:12" x14ac:dyDescent="0.3">
      <c r="B2633" s="179">
        <v>100535</v>
      </c>
      <c r="C2633" s="175" t="s">
        <v>2724</v>
      </c>
    </row>
    <row r="2634" spans="1:12" x14ac:dyDescent="0.3">
      <c r="B2634" s="179">
        <v>100850</v>
      </c>
      <c r="C2634" s="175" t="s">
        <v>2725</v>
      </c>
    </row>
    <row r="2635" spans="1:12" x14ac:dyDescent="0.3">
      <c r="B2635" s="179">
        <v>2788</v>
      </c>
      <c r="C2635" s="175" t="s">
        <v>2726</v>
      </c>
    </row>
    <row r="2636" spans="1:12" x14ac:dyDescent="0.3">
      <c r="B2636" s="179">
        <v>3329</v>
      </c>
      <c r="C2636" s="175" t="s">
        <v>2727</v>
      </c>
    </row>
    <row r="2637" spans="1:12" x14ac:dyDescent="0.3">
      <c r="B2637" s="179">
        <v>41447</v>
      </c>
      <c r="C2637" s="175" t="s">
        <v>2728</v>
      </c>
    </row>
    <row r="2638" spans="1:12" x14ac:dyDescent="0.3">
      <c r="B2638" s="179">
        <v>90859</v>
      </c>
      <c r="C2638" s="175" t="s">
        <v>2729</v>
      </c>
    </row>
    <row r="2639" spans="1:12" x14ac:dyDescent="0.3">
      <c r="B2639" s="179">
        <v>101447</v>
      </c>
      <c r="C2639" s="175" t="s">
        <v>2730</v>
      </c>
    </row>
    <row r="2640" spans="1:12" x14ac:dyDescent="0.3">
      <c r="B2640" s="179">
        <v>85679</v>
      </c>
      <c r="C2640" s="175" t="s">
        <v>2731</v>
      </c>
    </row>
    <row r="2641" spans="2:3" x14ac:dyDescent="0.3">
      <c r="B2641" s="179">
        <v>86870</v>
      </c>
      <c r="C2641" s="175" t="s">
        <v>2732</v>
      </c>
    </row>
    <row r="2642" spans="2:3" x14ac:dyDescent="0.3">
      <c r="B2642" s="179">
        <v>87068</v>
      </c>
      <c r="C2642" s="175" t="s">
        <v>2733</v>
      </c>
    </row>
    <row r="2643" spans="2:3" x14ac:dyDescent="0.3">
      <c r="B2643" s="179">
        <v>88583</v>
      </c>
      <c r="C2643" s="175" t="s">
        <v>2734</v>
      </c>
    </row>
    <row r="2644" spans="2:3" x14ac:dyDescent="0.3">
      <c r="B2644" s="179">
        <v>88910</v>
      </c>
      <c r="C2644" s="175" t="s">
        <v>2735</v>
      </c>
    </row>
    <row r="2645" spans="2:3" x14ac:dyDescent="0.3">
      <c r="B2645" s="179">
        <v>89027</v>
      </c>
      <c r="C2645" s="175" t="s">
        <v>2736</v>
      </c>
    </row>
    <row r="2646" spans="2:3" x14ac:dyDescent="0.3">
      <c r="B2646" s="179">
        <v>89089</v>
      </c>
      <c r="C2646" s="175" t="s">
        <v>2737</v>
      </c>
    </row>
    <row r="2647" spans="2:3" x14ac:dyDescent="0.3">
      <c r="B2647" s="179">
        <v>89467</v>
      </c>
      <c r="C2647" s="175" t="s">
        <v>2738</v>
      </c>
    </row>
    <row r="2648" spans="2:3" x14ac:dyDescent="0.3">
      <c r="B2648" s="179">
        <v>91153</v>
      </c>
      <c r="C2648" s="175" t="s">
        <v>2739</v>
      </c>
    </row>
    <row r="2649" spans="2:3" x14ac:dyDescent="0.3">
      <c r="B2649" s="179">
        <v>91154</v>
      </c>
      <c r="C2649" s="175" t="s">
        <v>2740</v>
      </c>
    </row>
    <row r="2650" spans="2:3" x14ac:dyDescent="0.3">
      <c r="B2650" s="179">
        <v>100939</v>
      </c>
      <c r="C2650" s="175" t="s">
        <v>2741</v>
      </c>
    </row>
    <row r="2651" spans="2:3" x14ac:dyDescent="0.3">
      <c r="B2651" s="179">
        <v>1701</v>
      </c>
      <c r="C2651" s="175" t="s">
        <v>2742</v>
      </c>
    </row>
    <row r="2652" spans="2:3" x14ac:dyDescent="0.3">
      <c r="B2652" s="179">
        <v>2145</v>
      </c>
      <c r="C2652" s="175" t="s">
        <v>2743</v>
      </c>
    </row>
    <row r="2653" spans="2:3" x14ac:dyDescent="0.3">
      <c r="B2653" s="179">
        <v>2414</v>
      </c>
      <c r="C2653" s="175" t="s">
        <v>2744</v>
      </c>
    </row>
    <row r="2654" spans="2:3" x14ac:dyDescent="0.3">
      <c r="B2654" s="179">
        <v>2747</v>
      </c>
      <c r="C2654" s="175" t="s">
        <v>2745</v>
      </c>
    </row>
    <row r="2655" spans="2:3" x14ac:dyDescent="0.3">
      <c r="B2655" s="179">
        <v>2912</v>
      </c>
      <c r="C2655" s="175" t="s">
        <v>2746</v>
      </c>
    </row>
    <row r="2656" spans="2:3" x14ac:dyDescent="0.3">
      <c r="B2656" s="179">
        <v>5047</v>
      </c>
      <c r="C2656" s="175" t="s">
        <v>2747</v>
      </c>
    </row>
    <row r="2657" spans="2:3" x14ac:dyDescent="0.3">
      <c r="B2657" s="179">
        <v>5802</v>
      </c>
      <c r="C2657" s="175" t="s">
        <v>2748</v>
      </c>
    </row>
    <row r="2658" spans="2:3" x14ac:dyDescent="0.3">
      <c r="B2658" s="179">
        <v>8257</v>
      </c>
      <c r="C2658" s="175" t="s">
        <v>2749</v>
      </c>
    </row>
    <row r="2659" spans="2:3" x14ac:dyDescent="0.3">
      <c r="B2659" s="179">
        <v>38546</v>
      </c>
      <c r="C2659" s="175" t="s">
        <v>2750</v>
      </c>
    </row>
    <row r="2660" spans="2:3" x14ac:dyDescent="0.3">
      <c r="B2660" s="179">
        <v>91089</v>
      </c>
      <c r="C2660" s="175" t="s">
        <v>2751</v>
      </c>
    </row>
    <row r="2661" spans="2:3" x14ac:dyDescent="0.3">
      <c r="B2661" s="179">
        <v>91198</v>
      </c>
      <c r="C2661" s="175" t="s">
        <v>2752</v>
      </c>
    </row>
    <row r="2662" spans="2:3" x14ac:dyDescent="0.3">
      <c r="B2662" s="179">
        <v>91225</v>
      </c>
      <c r="C2662" s="175" t="s">
        <v>2753</v>
      </c>
    </row>
    <row r="2663" spans="2:3" x14ac:dyDescent="0.3">
      <c r="B2663" s="179">
        <v>100657</v>
      </c>
      <c r="C2663" s="175" t="s">
        <v>2754</v>
      </c>
    </row>
    <row r="2664" spans="2:3" x14ac:dyDescent="0.3">
      <c r="B2664" s="179">
        <v>101086</v>
      </c>
      <c r="C2664" s="175" t="s">
        <v>2755</v>
      </c>
    </row>
    <row r="2665" spans="2:3" x14ac:dyDescent="0.3">
      <c r="B2665" s="179">
        <v>101184</v>
      </c>
      <c r="C2665" s="175" t="s">
        <v>2756</v>
      </c>
    </row>
    <row r="2666" spans="2:3" x14ac:dyDescent="0.3">
      <c r="B2666" s="179">
        <v>101377</v>
      </c>
      <c r="C2666" s="175" t="s">
        <v>2757</v>
      </c>
    </row>
    <row r="2667" spans="2:3" x14ac:dyDescent="0.3">
      <c r="B2667" s="179">
        <v>89910</v>
      </c>
      <c r="C2667" s="175" t="s">
        <v>2758</v>
      </c>
    </row>
    <row r="2668" spans="2:3" x14ac:dyDescent="0.3">
      <c r="B2668" s="179">
        <v>89912</v>
      </c>
      <c r="C2668" s="175" t="s">
        <v>2759</v>
      </c>
    </row>
    <row r="2669" spans="2:3" x14ac:dyDescent="0.3">
      <c r="B2669" s="179">
        <v>89915</v>
      </c>
      <c r="C2669" s="175" t="s">
        <v>2760</v>
      </c>
    </row>
    <row r="2670" spans="2:3" x14ac:dyDescent="0.3">
      <c r="B2670" s="179">
        <v>89959</v>
      </c>
      <c r="C2670" s="175" t="s">
        <v>2761</v>
      </c>
    </row>
    <row r="2671" spans="2:3" x14ac:dyDescent="0.3">
      <c r="B2671" s="179">
        <v>90010</v>
      </c>
      <c r="C2671" s="175" t="s">
        <v>2762</v>
      </c>
    </row>
    <row r="2672" spans="2:3" x14ac:dyDescent="0.3">
      <c r="B2672" s="179">
        <v>91147</v>
      </c>
      <c r="C2672" s="175" t="s">
        <v>2763</v>
      </c>
    </row>
    <row r="2673" spans="2:3" x14ac:dyDescent="0.3">
      <c r="B2673" s="179">
        <v>101487</v>
      </c>
      <c r="C2673" s="175" t="s">
        <v>2764</v>
      </c>
    </row>
    <row r="2674" spans="2:3" x14ac:dyDescent="0.3">
      <c r="B2674" s="179">
        <v>5817</v>
      </c>
      <c r="C2674" s="175" t="s">
        <v>2765</v>
      </c>
    </row>
    <row r="2675" spans="2:3" x14ac:dyDescent="0.3">
      <c r="B2675" s="179">
        <v>90271</v>
      </c>
      <c r="C2675" s="175" t="s">
        <v>2766</v>
      </c>
    </row>
    <row r="2676" spans="2:3" x14ac:dyDescent="0.3">
      <c r="B2676" s="179">
        <v>90488</v>
      </c>
      <c r="C2676" s="175" t="s">
        <v>2767</v>
      </c>
    </row>
    <row r="2677" spans="2:3" x14ac:dyDescent="0.3">
      <c r="B2677" s="179">
        <v>90675</v>
      </c>
      <c r="C2677" s="175" t="s">
        <v>2768</v>
      </c>
    </row>
    <row r="2678" spans="2:3" x14ac:dyDescent="0.3">
      <c r="B2678" s="179">
        <v>90696</v>
      </c>
      <c r="C2678" s="175" t="s">
        <v>2769</v>
      </c>
    </row>
    <row r="2679" spans="2:3" x14ac:dyDescent="0.3">
      <c r="B2679" s="179">
        <v>1463</v>
      </c>
      <c r="C2679" s="175" t="s">
        <v>2770</v>
      </c>
    </row>
    <row r="2680" spans="2:3" x14ac:dyDescent="0.3">
      <c r="B2680" s="179">
        <v>14697</v>
      </c>
      <c r="C2680" s="175" t="s">
        <v>2771</v>
      </c>
    </row>
    <row r="2681" spans="2:3" x14ac:dyDescent="0.3">
      <c r="B2681" s="179">
        <v>37469</v>
      </c>
      <c r="C2681" s="175" t="s">
        <v>2772</v>
      </c>
    </row>
    <row r="2682" spans="2:3" x14ac:dyDescent="0.3">
      <c r="B2682" s="179">
        <v>91220</v>
      </c>
      <c r="C2682" s="175" t="s">
        <v>2773</v>
      </c>
    </row>
    <row r="2683" spans="2:3" x14ac:dyDescent="0.3">
      <c r="B2683" s="179">
        <v>100869</v>
      </c>
      <c r="C2683" s="175" t="s">
        <v>2774</v>
      </c>
    </row>
    <row r="2684" spans="2:3" x14ac:dyDescent="0.3">
      <c r="B2684" s="179">
        <v>85507</v>
      </c>
      <c r="C2684" s="175" t="s">
        <v>2775</v>
      </c>
    </row>
    <row r="2685" spans="2:3" x14ac:dyDescent="0.3">
      <c r="B2685" s="179">
        <v>86644</v>
      </c>
      <c r="C2685" s="175" t="s">
        <v>2776</v>
      </c>
    </row>
    <row r="2686" spans="2:3" x14ac:dyDescent="0.3">
      <c r="B2686" s="179">
        <v>86881</v>
      </c>
      <c r="C2686" s="175" t="s">
        <v>2777</v>
      </c>
    </row>
    <row r="2687" spans="2:3" x14ac:dyDescent="0.3">
      <c r="B2687" s="179">
        <v>86890</v>
      </c>
      <c r="C2687" s="175" t="s">
        <v>2778</v>
      </c>
    </row>
    <row r="2688" spans="2:3" x14ac:dyDescent="0.3">
      <c r="B2688" s="179">
        <v>86941</v>
      </c>
      <c r="C2688" s="175" t="s">
        <v>2779</v>
      </c>
    </row>
    <row r="2689" spans="2:3" x14ac:dyDescent="0.3">
      <c r="B2689" s="179">
        <v>87220</v>
      </c>
      <c r="C2689" s="175" t="s">
        <v>2780</v>
      </c>
    </row>
    <row r="2690" spans="2:3" x14ac:dyDescent="0.3">
      <c r="B2690" s="179">
        <v>87221</v>
      </c>
      <c r="C2690" s="175" t="s">
        <v>2781</v>
      </c>
    </row>
    <row r="2691" spans="2:3" x14ac:dyDescent="0.3">
      <c r="B2691" s="179">
        <v>87368</v>
      </c>
      <c r="C2691" s="175" t="s">
        <v>2782</v>
      </c>
    </row>
    <row r="2692" spans="2:3" x14ac:dyDescent="0.3">
      <c r="B2692" s="179">
        <v>87464</v>
      </c>
      <c r="C2692" s="175" t="s">
        <v>2783</v>
      </c>
    </row>
    <row r="2693" spans="2:3" x14ac:dyDescent="0.3">
      <c r="B2693" s="179">
        <v>87611</v>
      </c>
      <c r="C2693" s="175" t="s">
        <v>2784</v>
      </c>
    </row>
    <row r="2694" spans="2:3" x14ac:dyDescent="0.3">
      <c r="B2694" s="179">
        <v>87732</v>
      </c>
      <c r="C2694" s="175" t="s">
        <v>2785</v>
      </c>
    </row>
    <row r="2695" spans="2:3" x14ac:dyDescent="0.3">
      <c r="B2695" s="179">
        <v>88360</v>
      </c>
      <c r="C2695" s="175" t="s">
        <v>2786</v>
      </c>
    </row>
    <row r="2696" spans="2:3" x14ac:dyDescent="0.3">
      <c r="B2696" s="179">
        <v>88507</v>
      </c>
      <c r="C2696" s="175" t="s">
        <v>2787</v>
      </c>
    </row>
    <row r="2697" spans="2:3" x14ac:dyDescent="0.3">
      <c r="B2697" s="179">
        <v>88812</v>
      </c>
      <c r="C2697" s="175" t="s">
        <v>2788</v>
      </c>
    </row>
    <row r="2698" spans="2:3" x14ac:dyDescent="0.3">
      <c r="B2698" s="179">
        <v>89137</v>
      </c>
      <c r="C2698" s="175" t="s">
        <v>2789</v>
      </c>
    </row>
    <row r="2699" spans="2:3" x14ac:dyDescent="0.3">
      <c r="B2699" s="179">
        <v>89488</v>
      </c>
      <c r="C2699" s="175" t="s">
        <v>2790</v>
      </c>
    </row>
    <row r="2700" spans="2:3" x14ac:dyDescent="0.3">
      <c r="B2700" s="179">
        <v>89669</v>
      </c>
      <c r="C2700" s="175" t="s">
        <v>2791</v>
      </c>
    </row>
    <row r="2701" spans="2:3" x14ac:dyDescent="0.3">
      <c r="B2701" s="179">
        <v>90624</v>
      </c>
      <c r="C2701" s="175" t="s">
        <v>2792</v>
      </c>
    </row>
    <row r="2702" spans="2:3" x14ac:dyDescent="0.3">
      <c r="B2702" s="179">
        <v>90708</v>
      </c>
      <c r="C2702" s="175" t="s">
        <v>2793</v>
      </c>
    </row>
    <row r="2703" spans="2:3" x14ac:dyDescent="0.3">
      <c r="B2703" s="179">
        <v>100415</v>
      </c>
      <c r="C2703" s="175" t="s">
        <v>2794</v>
      </c>
    </row>
    <row r="2704" spans="2:3" x14ac:dyDescent="0.3">
      <c r="B2704" s="179">
        <v>100904</v>
      </c>
      <c r="C2704" s="175" t="s">
        <v>2795</v>
      </c>
    </row>
    <row r="2705" spans="2:3" x14ac:dyDescent="0.3">
      <c r="B2705" s="179">
        <v>100910</v>
      </c>
      <c r="C2705" s="175" t="s">
        <v>2796</v>
      </c>
    </row>
    <row r="2706" spans="2:3" x14ac:dyDescent="0.3">
      <c r="B2706" s="179">
        <v>101104</v>
      </c>
      <c r="C2706" s="175" t="s">
        <v>2797</v>
      </c>
    </row>
    <row r="2707" spans="2:3" x14ac:dyDescent="0.3">
      <c r="B2707" s="179">
        <v>101291</v>
      </c>
      <c r="C2707" s="175" t="s">
        <v>2798</v>
      </c>
    </row>
    <row r="2708" spans="2:3" x14ac:dyDescent="0.3">
      <c r="B2708" s="179">
        <v>101294</v>
      </c>
      <c r="C2708" s="175" t="s">
        <v>2799</v>
      </c>
    </row>
    <row r="2709" spans="2:3" x14ac:dyDescent="0.3">
      <c r="B2709" s="179">
        <v>101315</v>
      </c>
      <c r="C2709" s="175" t="s">
        <v>2800</v>
      </c>
    </row>
    <row r="2710" spans="2:3" x14ac:dyDescent="0.3">
      <c r="B2710" s="179">
        <v>101381</v>
      </c>
      <c r="C2710" s="175" t="s">
        <v>2801</v>
      </c>
    </row>
    <row r="2711" spans="2:3" x14ac:dyDescent="0.3">
      <c r="B2711" s="179">
        <v>101529</v>
      </c>
      <c r="C2711" s="175" t="s">
        <v>2802</v>
      </c>
    </row>
    <row r="2712" spans="2:3" x14ac:dyDescent="0.3">
      <c r="B2712" s="179">
        <v>1992</v>
      </c>
      <c r="C2712" s="175" t="s">
        <v>2803</v>
      </c>
    </row>
    <row r="2713" spans="2:3" x14ac:dyDescent="0.3">
      <c r="B2713" s="179">
        <v>2127</v>
      </c>
      <c r="C2713" s="175" t="s">
        <v>2804</v>
      </c>
    </row>
    <row r="2714" spans="2:3" x14ac:dyDescent="0.3">
      <c r="B2714" s="179">
        <v>2785</v>
      </c>
      <c r="C2714" s="175" t="s">
        <v>2805</v>
      </c>
    </row>
    <row r="2715" spans="2:3" x14ac:dyDescent="0.3">
      <c r="B2715" s="179">
        <v>3212</v>
      </c>
      <c r="C2715" s="175" t="s">
        <v>2806</v>
      </c>
    </row>
    <row r="2716" spans="2:3" x14ac:dyDescent="0.3">
      <c r="B2716" s="179">
        <v>3563</v>
      </c>
      <c r="C2716" s="175" t="s">
        <v>2807</v>
      </c>
    </row>
    <row r="2717" spans="2:3" x14ac:dyDescent="0.3">
      <c r="B2717" s="179">
        <v>7844</v>
      </c>
      <c r="C2717" s="175" t="s">
        <v>2808</v>
      </c>
    </row>
    <row r="2718" spans="2:3" x14ac:dyDescent="0.3">
      <c r="B2718" s="179">
        <v>39484</v>
      </c>
      <c r="C2718" s="175" t="s">
        <v>2809</v>
      </c>
    </row>
    <row r="2719" spans="2:3" x14ac:dyDescent="0.3">
      <c r="B2719" s="179">
        <v>90428</v>
      </c>
      <c r="C2719" s="175" t="s">
        <v>2810</v>
      </c>
    </row>
    <row r="2720" spans="2:3" x14ac:dyDescent="0.3">
      <c r="B2720" s="179">
        <v>90913</v>
      </c>
      <c r="C2720" s="175" t="s">
        <v>2811</v>
      </c>
    </row>
    <row r="2721" spans="2:3" x14ac:dyDescent="0.3">
      <c r="B2721" s="179">
        <v>90936</v>
      </c>
      <c r="C2721" s="175" t="s">
        <v>2812</v>
      </c>
    </row>
    <row r="2722" spans="2:3" x14ac:dyDescent="0.3">
      <c r="B2722" s="179">
        <v>100778</v>
      </c>
      <c r="C2722" s="175" t="s">
        <v>2813</v>
      </c>
    </row>
    <row r="2723" spans="2:3" x14ac:dyDescent="0.3">
      <c r="B2723" s="179">
        <v>100780</v>
      </c>
      <c r="C2723" s="175" t="s">
        <v>2814</v>
      </c>
    </row>
    <row r="2724" spans="2:3" x14ac:dyDescent="0.3">
      <c r="B2724" s="179">
        <v>100908</v>
      </c>
      <c r="C2724" s="175" t="s">
        <v>2815</v>
      </c>
    </row>
    <row r="2725" spans="2:3" x14ac:dyDescent="0.3">
      <c r="B2725" s="179">
        <v>88967</v>
      </c>
      <c r="C2725" s="175" t="s">
        <v>2816</v>
      </c>
    </row>
    <row r="2726" spans="2:3" x14ac:dyDescent="0.3">
      <c r="B2726" s="179">
        <v>89595</v>
      </c>
      <c r="C2726" s="175" t="s">
        <v>2817</v>
      </c>
    </row>
    <row r="2727" spans="2:3" x14ac:dyDescent="0.3">
      <c r="B2727" s="179">
        <v>101358</v>
      </c>
      <c r="C2727" s="175" t="s">
        <v>2818</v>
      </c>
    </row>
    <row r="2728" spans="2:3" x14ac:dyDescent="0.3">
      <c r="B2728" s="179">
        <v>1991</v>
      </c>
      <c r="C2728" s="175" t="s">
        <v>2819</v>
      </c>
    </row>
    <row r="2729" spans="2:3" x14ac:dyDescent="0.3">
      <c r="B2729" s="179">
        <v>2784</v>
      </c>
      <c r="C2729" s="175" t="s">
        <v>2820</v>
      </c>
    </row>
    <row r="2730" spans="2:3" x14ac:dyDescent="0.3">
      <c r="B2730" s="179">
        <v>101148</v>
      </c>
      <c r="C2730" s="175" t="s">
        <v>2821</v>
      </c>
    </row>
    <row r="2731" spans="2:3" x14ac:dyDescent="0.3">
      <c r="B2731" s="179">
        <v>101149</v>
      </c>
      <c r="C2731" s="175" t="s">
        <v>2822</v>
      </c>
    </row>
    <row r="2732" spans="2:3" x14ac:dyDescent="0.3">
      <c r="B2732" s="179">
        <v>101150</v>
      </c>
      <c r="C2732" s="175" t="s">
        <v>2823</v>
      </c>
    </row>
    <row r="2733" spans="2:3" x14ac:dyDescent="0.3">
      <c r="B2733" s="179">
        <v>86267</v>
      </c>
      <c r="C2733" s="175" t="s">
        <v>2824</v>
      </c>
    </row>
    <row r="2734" spans="2:3" x14ac:dyDescent="0.3">
      <c r="B2734" s="179">
        <v>86425</v>
      </c>
      <c r="C2734" s="175" t="s">
        <v>2825</v>
      </c>
    </row>
    <row r="2735" spans="2:3" x14ac:dyDescent="0.3">
      <c r="B2735" s="179">
        <v>87034</v>
      </c>
      <c r="C2735" s="175" t="s">
        <v>2826</v>
      </c>
    </row>
    <row r="2736" spans="2:3" x14ac:dyDescent="0.3">
      <c r="B2736" s="179">
        <v>88122</v>
      </c>
      <c r="C2736" s="175" t="s">
        <v>2827</v>
      </c>
    </row>
    <row r="2737" spans="2:3" x14ac:dyDescent="0.3">
      <c r="B2737" s="179">
        <v>88133</v>
      </c>
      <c r="C2737" s="175" t="s">
        <v>2828</v>
      </c>
    </row>
    <row r="2738" spans="2:3" x14ac:dyDescent="0.3">
      <c r="B2738" s="179">
        <v>88148</v>
      </c>
      <c r="C2738" s="175" t="s">
        <v>2829</v>
      </c>
    </row>
    <row r="2739" spans="2:3" x14ac:dyDescent="0.3">
      <c r="B2739" s="179">
        <v>88497</v>
      </c>
      <c r="C2739" s="175" t="s">
        <v>2830</v>
      </c>
    </row>
    <row r="2740" spans="2:3" x14ac:dyDescent="0.3">
      <c r="B2740" s="179">
        <v>3203</v>
      </c>
      <c r="C2740" s="175" t="s">
        <v>2831</v>
      </c>
    </row>
    <row r="2741" spans="2:3" x14ac:dyDescent="0.3">
      <c r="B2741" s="179">
        <v>3558</v>
      </c>
      <c r="C2741" s="175" t="s">
        <v>2832</v>
      </c>
    </row>
    <row r="2742" spans="2:3" x14ac:dyDescent="0.3">
      <c r="B2742" s="179">
        <v>7524</v>
      </c>
      <c r="C2742" s="175" t="s">
        <v>2833</v>
      </c>
    </row>
    <row r="2743" spans="2:3" x14ac:dyDescent="0.3">
      <c r="B2743" s="179">
        <v>10489</v>
      </c>
      <c r="C2743" s="175" t="s">
        <v>2834</v>
      </c>
    </row>
    <row r="2744" spans="2:3" x14ac:dyDescent="0.3">
      <c r="B2744" s="179">
        <v>54056</v>
      </c>
      <c r="C2744" s="175" t="s">
        <v>2835</v>
      </c>
    </row>
    <row r="2745" spans="2:3" x14ac:dyDescent="0.3">
      <c r="B2745" s="179">
        <v>100844</v>
      </c>
      <c r="C2745" s="175" t="s">
        <v>2836</v>
      </c>
    </row>
    <row r="2746" spans="2:3" x14ac:dyDescent="0.3">
      <c r="B2746" s="179">
        <v>100876</v>
      </c>
      <c r="C2746" s="175" t="s">
        <v>2837</v>
      </c>
    </row>
    <row r="2747" spans="2:3" x14ac:dyDescent="0.3">
      <c r="B2747" s="179">
        <v>100992</v>
      </c>
      <c r="C2747" s="175" t="s">
        <v>2838</v>
      </c>
    </row>
    <row r="2748" spans="2:3" x14ac:dyDescent="0.3">
      <c r="B2748" s="179">
        <v>86917</v>
      </c>
      <c r="C2748" s="175" t="s">
        <v>2839</v>
      </c>
    </row>
    <row r="2749" spans="2:3" x14ac:dyDescent="0.3">
      <c r="B2749" s="179">
        <v>88686</v>
      </c>
      <c r="C2749" s="175" t="s">
        <v>2840</v>
      </c>
    </row>
    <row r="2750" spans="2:3" x14ac:dyDescent="0.3">
      <c r="B2750" s="179">
        <v>89764</v>
      </c>
      <c r="C2750" s="175" t="s">
        <v>2841</v>
      </c>
    </row>
    <row r="2751" spans="2:3" x14ac:dyDescent="0.3">
      <c r="B2751" s="179">
        <v>90926</v>
      </c>
      <c r="C2751" s="175" t="s">
        <v>2842</v>
      </c>
    </row>
    <row r="2752" spans="2:3" x14ac:dyDescent="0.3">
      <c r="B2752" s="179">
        <v>100982</v>
      </c>
      <c r="C2752" s="175" t="s">
        <v>2843</v>
      </c>
    </row>
    <row r="2753" spans="2:3" x14ac:dyDescent="0.3">
      <c r="B2753" s="179">
        <v>101008</v>
      </c>
      <c r="C2753" s="175" t="s">
        <v>2844</v>
      </c>
    </row>
    <row r="2754" spans="2:3" x14ac:dyDescent="0.3">
      <c r="B2754" s="179">
        <v>8390</v>
      </c>
      <c r="C2754" s="175" t="s">
        <v>2845</v>
      </c>
    </row>
    <row r="2755" spans="2:3" x14ac:dyDescent="0.3">
      <c r="B2755" s="179">
        <v>91168</v>
      </c>
      <c r="C2755" s="175" t="s">
        <v>2846</v>
      </c>
    </row>
    <row r="2756" spans="2:3" x14ac:dyDescent="0.3">
      <c r="B2756" s="179">
        <v>100990</v>
      </c>
      <c r="C2756" s="175" t="s">
        <v>2847</v>
      </c>
    </row>
    <row r="2757" spans="2:3" x14ac:dyDescent="0.3">
      <c r="B2757" s="179">
        <v>86591</v>
      </c>
      <c r="C2757" s="175" t="s">
        <v>2848</v>
      </c>
    </row>
    <row r="2758" spans="2:3" x14ac:dyDescent="0.3">
      <c r="B2758" s="179">
        <v>88779</v>
      </c>
      <c r="C2758" s="175" t="s">
        <v>2849</v>
      </c>
    </row>
    <row r="2759" spans="2:3" x14ac:dyDescent="0.3">
      <c r="B2759" s="179">
        <v>89920</v>
      </c>
      <c r="C2759" s="175" t="s">
        <v>2850</v>
      </c>
    </row>
    <row r="2760" spans="2:3" x14ac:dyDescent="0.3">
      <c r="B2760" s="179">
        <v>25028</v>
      </c>
      <c r="C2760" s="175" t="s">
        <v>2851</v>
      </c>
    </row>
    <row r="2761" spans="2:3" x14ac:dyDescent="0.3">
      <c r="B2761" s="179">
        <v>100787</v>
      </c>
      <c r="C2761" s="175" t="s">
        <v>2852</v>
      </c>
    </row>
    <row r="2762" spans="2:3" x14ac:dyDescent="0.3">
      <c r="B2762" s="179">
        <v>101145</v>
      </c>
      <c r="C2762" s="175" t="s">
        <v>2853</v>
      </c>
    </row>
    <row r="2763" spans="2:3" x14ac:dyDescent="0.3">
      <c r="B2763" s="179">
        <v>101413</v>
      </c>
      <c r="C2763" s="175" t="s">
        <v>2854</v>
      </c>
    </row>
    <row r="2764" spans="2:3" x14ac:dyDescent="0.3">
      <c r="B2764" s="179">
        <v>88071</v>
      </c>
      <c r="C2764" s="175" t="s">
        <v>2855</v>
      </c>
    </row>
    <row r="2765" spans="2:3" x14ac:dyDescent="0.3">
      <c r="B2765" s="179">
        <v>88522</v>
      </c>
      <c r="C2765" s="175" t="s">
        <v>2856</v>
      </c>
    </row>
    <row r="2766" spans="2:3" x14ac:dyDescent="0.3">
      <c r="B2766" s="179">
        <v>88684</v>
      </c>
      <c r="C2766" s="175" t="s">
        <v>2857</v>
      </c>
    </row>
    <row r="2767" spans="2:3" x14ac:dyDescent="0.3">
      <c r="B2767" s="179">
        <v>89726</v>
      </c>
      <c r="C2767" s="175" t="s">
        <v>2858</v>
      </c>
    </row>
    <row r="2768" spans="2:3" x14ac:dyDescent="0.3">
      <c r="B2768" s="179">
        <v>89733</v>
      </c>
      <c r="C2768" s="175" t="s">
        <v>2859</v>
      </c>
    </row>
    <row r="2769" spans="2:3" x14ac:dyDescent="0.3">
      <c r="B2769" s="179">
        <v>90862</v>
      </c>
      <c r="C2769" s="175" t="s">
        <v>2860</v>
      </c>
    </row>
    <row r="2770" spans="2:3" x14ac:dyDescent="0.3">
      <c r="B2770" s="179">
        <v>90897</v>
      </c>
      <c r="C2770" s="175" t="s">
        <v>2861</v>
      </c>
    </row>
    <row r="2771" spans="2:3" x14ac:dyDescent="0.3">
      <c r="B2771" s="179">
        <v>91165</v>
      </c>
      <c r="C2771" s="175" t="s">
        <v>2862</v>
      </c>
    </row>
    <row r="2772" spans="2:3" x14ac:dyDescent="0.3">
      <c r="B2772" s="179">
        <v>91166</v>
      </c>
      <c r="C2772" s="175" t="s">
        <v>2863</v>
      </c>
    </row>
    <row r="2773" spans="2:3" x14ac:dyDescent="0.3">
      <c r="B2773" s="179">
        <v>100470</v>
      </c>
      <c r="C2773" s="175" t="s">
        <v>2864</v>
      </c>
    </row>
    <row r="2774" spans="2:3" x14ac:dyDescent="0.3">
      <c r="B2774" s="179">
        <v>101322</v>
      </c>
      <c r="C2774" s="175" t="s">
        <v>2865</v>
      </c>
    </row>
    <row r="2775" spans="2:3" x14ac:dyDescent="0.3">
      <c r="B2775" s="179">
        <v>4996</v>
      </c>
      <c r="C2775" s="175" t="s">
        <v>2866</v>
      </c>
    </row>
    <row r="2776" spans="2:3" x14ac:dyDescent="0.3">
      <c r="B2776" s="179">
        <v>28307</v>
      </c>
      <c r="C2776" s="175" t="s">
        <v>2867</v>
      </c>
    </row>
    <row r="2777" spans="2:3" x14ac:dyDescent="0.3">
      <c r="B2777" s="179">
        <v>101243</v>
      </c>
      <c r="C2777" s="175" t="s">
        <v>2868</v>
      </c>
    </row>
    <row r="2778" spans="2:3" x14ac:dyDescent="0.3">
      <c r="B2778" s="179">
        <v>101584</v>
      </c>
      <c r="C2778" s="175" t="s">
        <v>2869</v>
      </c>
    </row>
    <row r="2779" spans="2:3" x14ac:dyDescent="0.3">
      <c r="B2779" s="179">
        <v>2739</v>
      </c>
      <c r="C2779" s="175" t="s">
        <v>2870</v>
      </c>
    </row>
    <row r="2780" spans="2:3" x14ac:dyDescent="0.3">
      <c r="B2780" s="179">
        <v>5583</v>
      </c>
      <c r="C2780" s="175" t="s">
        <v>2871</v>
      </c>
    </row>
    <row r="2781" spans="2:3" x14ac:dyDescent="0.3">
      <c r="B2781" s="179">
        <v>6031</v>
      </c>
      <c r="C2781" s="175" t="s">
        <v>2872</v>
      </c>
    </row>
    <row r="2782" spans="2:3" x14ac:dyDescent="0.3">
      <c r="B2782" s="179">
        <v>87243</v>
      </c>
      <c r="C2782" s="175" t="s">
        <v>2873</v>
      </c>
    </row>
    <row r="2783" spans="2:3" x14ac:dyDescent="0.3">
      <c r="B2783" s="179">
        <v>87887</v>
      </c>
      <c r="C2783" s="175" t="s">
        <v>2874</v>
      </c>
    </row>
    <row r="2784" spans="2:3" x14ac:dyDescent="0.3">
      <c r="B2784" s="179">
        <v>88091</v>
      </c>
      <c r="C2784" s="175" t="s">
        <v>2875</v>
      </c>
    </row>
    <row r="2785" spans="2:3" x14ac:dyDescent="0.3">
      <c r="B2785" s="179">
        <v>88760</v>
      </c>
      <c r="C2785" s="175" t="s">
        <v>2876</v>
      </c>
    </row>
    <row r="2786" spans="2:3" x14ac:dyDescent="0.3">
      <c r="B2786" s="179">
        <v>89033</v>
      </c>
      <c r="C2786" s="175" t="s">
        <v>2877</v>
      </c>
    </row>
    <row r="2787" spans="2:3" x14ac:dyDescent="0.3">
      <c r="B2787" s="179">
        <v>89806</v>
      </c>
      <c r="C2787" s="175" t="s">
        <v>2878</v>
      </c>
    </row>
    <row r="2788" spans="2:3" x14ac:dyDescent="0.3">
      <c r="B2788" s="179">
        <v>90520</v>
      </c>
      <c r="C2788" s="175" t="s">
        <v>2879</v>
      </c>
    </row>
    <row r="2789" spans="2:3" x14ac:dyDescent="0.3">
      <c r="B2789" s="179">
        <v>100411</v>
      </c>
      <c r="C2789" s="175" t="s">
        <v>2880</v>
      </c>
    </row>
    <row r="2790" spans="2:3" x14ac:dyDescent="0.3">
      <c r="B2790" s="179">
        <v>100788</v>
      </c>
      <c r="C2790" s="175" t="s">
        <v>2881</v>
      </c>
    </row>
    <row r="2791" spans="2:3" x14ac:dyDescent="0.3">
      <c r="B2791" s="179">
        <v>101360</v>
      </c>
      <c r="C2791" s="175" t="s">
        <v>2882</v>
      </c>
    </row>
    <row r="2792" spans="2:3" x14ac:dyDescent="0.3">
      <c r="B2792" s="179">
        <v>2344</v>
      </c>
      <c r="C2792" s="175" t="s">
        <v>2883</v>
      </c>
    </row>
    <row r="2793" spans="2:3" x14ac:dyDescent="0.3">
      <c r="B2793" s="179">
        <v>2413</v>
      </c>
      <c r="C2793" s="175" t="s">
        <v>2884</v>
      </c>
    </row>
    <row r="2794" spans="2:3" x14ac:dyDescent="0.3">
      <c r="B2794" s="179">
        <v>4779</v>
      </c>
      <c r="C2794" s="175" t="s">
        <v>2885</v>
      </c>
    </row>
    <row r="2795" spans="2:3" x14ac:dyDescent="0.3">
      <c r="B2795" s="179">
        <v>6282</v>
      </c>
      <c r="C2795" s="175" t="s">
        <v>2886</v>
      </c>
    </row>
    <row r="2796" spans="2:3" x14ac:dyDescent="0.3">
      <c r="B2796" s="179">
        <v>90995</v>
      </c>
      <c r="C2796" s="175" t="s">
        <v>2887</v>
      </c>
    </row>
    <row r="2797" spans="2:3" x14ac:dyDescent="0.3">
      <c r="B2797" s="179">
        <v>100917</v>
      </c>
      <c r="C2797" s="175" t="s">
        <v>2888</v>
      </c>
    </row>
    <row r="2798" spans="2:3" x14ac:dyDescent="0.3">
      <c r="B2798" s="179">
        <v>100919</v>
      </c>
      <c r="C2798" s="175" t="s">
        <v>2889</v>
      </c>
    </row>
    <row r="2799" spans="2:3" x14ac:dyDescent="0.3">
      <c r="B2799" s="179">
        <v>100942</v>
      </c>
      <c r="C2799" s="175" t="s">
        <v>2890</v>
      </c>
    </row>
    <row r="2800" spans="2:3" x14ac:dyDescent="0.3">
      <c r="B2800" s="179">
        <v>101053</v>
      </c>
      <c r="C2800" s="175" t="s">
        <v>2891</v>
      </c>
    </row>
    <row r="2801" spans="2:3" x14ac:dyDescent="0.3">
      <c r="B2801" s="179">
        <v>87225</v>
      </c>
      <c r="C2801" s="175" t="s">
        <v>2892</v>
      </c>
    </row>
    <row r="2802" spans="2:3" x14ac:dyDescent="0.3">
      <c r="B2802" s="179">
        <v>87528</v>
      </c>
      <c r="C2802" s="175" t="s">
        <v>2893</v>
      </c>
    </row>
    <row r="2803" spans="2:3" x14ac:dyDescent="0.3">
      <c r="B2803" s="179">
        <v>89047</v>
      </c>
      <c r="C2803" s="175" t="s">
        <v>2894</v>
      </c>
    </row>
    <row r="2804" spans="2:3" x14ac:dyDescent="0.3">
      <c r="B2804" s="179">
        <v>89059</v>
      </c>
      <c r="C2804" s="175" t="s">
        <v>2895</v>
      </c>
    </row>
    <row r="2805" spans="2:3" x14ac:dyDescent="0.3">
      <c r="B2805" s="179">
        <v>90277</v>
      </c>
      <c r="C2805" s="175" t="s">
        <v>2896</v>
      </c>
    </row>
    <row r="2806" spans="2:3" x14ac:dyDescent="0.3">
      <c r="B2806" s="179">
        <v>100913</v>
      </c>
      <c r="C2806" s="175" t="s">
        <v>2897</v>
      </c>
    </row>
    <row r="2807" spans="2:3" x14ac:dyDescent="0.3">
      <c r="B2807" s="179">
        <v>101439</v>
      </c>
      <c r="C2807" s="175" t="s">
        <v>2898</v>
      </c>
    </row>
    <row r="2808" spans="2:3" x14ac:dyDescent="0.3">
      <c r="B2808" s="179">
        <v>101522</v>
      </c>
      <c r="C2808" s="175" t="s">
        <v>2899</v>
      </c>
    </row>
    <row r="2809" spans="2:3" x14ac:dyDescent="0.3">
      <c r="B2809" s="179">
        <v>101524</v>
      </c>
      <c r="C2809" s="175" t="s">
        <v>2900</v>
      </c>
    </row>
    <row r="2810" spans="2:3" x14ac:dyDescent="0.3">
      <c r="B2810" s="179">
        <v>2371</v>
      </c>
      <c r="C2810" s="175" t="s">
        <v>2901</v>
      </c>
    </row>
    <row r="2811" spans="2:3" x14ac:dyDescent="0.3">
      <c r="B2811" s="179">
        <v>2410</v>
      </c>
      <c r="C2811" s="175" t="s">
        <v>2902</v>
      </c>
    </row>
    <row r="2812" spans="2:3" x14ac:dyDescent="0.3">
      <c r="B2812" s="179">
        <v>3557</v>
      </c>
      <c r="C2812" s="175" t="s">
        <v>2903</v>
      </c>
    </row>
    <row r="2813" spans="2:3" x14ac:dyDescent="0.3">
      <c r="B2813" s="179">
        <v>4775</v>
      </c>
      <c r="C2813" s="175" t="s">
        <v>2904</v>
      </c>
    </row>
    <row r="2814" spans="2:3" x14ac:dyDescent="0.3">
      <c r="B2814" s="179">
        <v>40438</v>
      </c>
      <c r="C2814" s="175" t="s">
        <v>2905</v>
      </c>
    </row>
    <row r="2815" spans="2:3" x14ac:dyDescent="0.3">
      <c r="B2815" s="179">
        <v>90497</v>
      </c>
      <c r="C2815" s="175" t="s">
        <v>2906</v>
      </c>
    </row>
    <row r="2816" spans="2:3" x14ac:dyDescent="0.3">
      <c r="B2816" s="179">
        <v>101108</v>
      </c>
      <c r="C2816" s="175" t="s">
        <v>2907</v>
      </c>
    </row>
    <row r="2817" spans="2:3" x14ac:dyDescent="0.3">
      <c r="B2817" s="179">
        <v>101406</v>
      </c>
      <c r="C2817" s="175" t="s">
        <v>2908</v>
      </c>
    </row>
    <row r="2818" spans="2:3" x14ac:dyDescent="0.3">
      <c r="B2818" s="179">
        <v>101414</v>
      </c>
      <c r="C2818" s="175" t="s">
        <v>2909</v>
      </c>
    </row>
    <row r="2819" spans="2:3" x14ac:dyDescent="0.3">
      <c r="B2819" s="179">
        <v>101520</v>
      </c>
      <c r="C2819" s="175" t="s">
        <v>2910</v>
      </c>
    </row>
    <row r="2820" spans="2:3" x14ac:dyDescent="0.3">
      <c r="B2820" s="179">
        <v>87244</v>
      </c>
      <c r="C2820" s="175" t="s">
        <v>2911</v>
      </c>
    </row>
    <row r="2821" spans="2:3" x14ac:dyDescent="0.3">
      <c r="B2821" s="179">
        <v>87819</v>
      </c>
      <c r="C2821" s="175" t="s">
        <v>2912</v>
      </c>
    </row>
    <row r="2822" spans="2:3" x14ac:dyDescent="0.3">
      <c r="B2822" s="179">
        <v>88743</v>
      </c>
      <c r="C2822" s="175" t="s">
        <v>2913</v>
      </c>
    </row>
    <row r="2823" spans="2:3" x14ac:dyDescent="0.3">
      <c r="B2823" s="179">
        <v>90232</v>
      </c>
      <c r="C2823" s="175" t="s">
        <v>2914</v>
      </c>
    </row>
    <row r="2824" spans="2:3" x14ac:dyDescent="0.3">
      <c r="B2824" s="179">
        <v>101505</v>
      </c>
      <c r="C2824" s="175" t="s">
        <v>2915</v>
      </c>
    </row>
    <row r="2825" spans="2:3" x14ac:dyDescent="0.3">
      <c r="B2825" s="179">
        <v>101564</v>
      </c>
      <c r="C2825" s="175" t="s">
        <v>2916</v>
      </c>
    </row>
    <row r="2826" spans="2:3" x14ac:dyDescent="0.3">
      <c r="B2826" s="179">
        <v>2306</v>
      </c>
      <c r="C2826" s="175" t="s">
        <v>2917</v>
      </c>
    </row>
    <row r="2827" spans="2:3" x14ac:dyDescent="0.3">
      <c r="B2827" s="179">
        <v>3246</v>
      </c>
      <c r="C2827" s="175" t="s">
        <v>2918</v>
      </c>
    </row>
    <row r="2828" spans="2:3" x14ac:dyDescent="0.3">
      <c r="B2828" s="179">
        <v>40210</v>
      </c>
      <c r="C2828" s="175" t="s">
        <v>2919</v>
      </c>
    </row>
    <row r="2829" spans="2:3" x14ac:dyDescent="0.3">
      <c r="B2829" s="179">
        <v>101571</v>
      </c>
      <c r="C2829" s="175" t="s">
        <v>2920</v>
      </c>
    </row>
    <row r="2830" spans="2:3" x14ac:dyDescent="0.3">
      <c r="B2830" s="179">
        <v>86441</v>
      </c>
      <c r="C2830" s="175" t="s">
        <v>2921</v>
      </c>
    </row>
    <row r="2831" spans="2:3" x14ac:dyDescent="0.3">
      <c r="B2831" s="179">
        <v>87223</v>
      </c>
      <c r="C2831" s="175" t="s">
        <v>2922</v>
      </c>
    </row>
    <row r="2832" spans="2:3" x14ac:dyDescent="0.3">
      <c r="B2832" s="179">
        <v>87224</v>
      </c>
      <c r="C2832" s="175" t="s">
        <v>2923</v>
      </c>
    </row>
    <row r="2833" spans="2:3" x14ac:dyDescent="0.3">
      <c r="B2833" s="179">
        <v>87534</v>
      </c>
      <c r="C2833" s="175" t="s">
        <v>2924</v>
      </c>
    </row>
    <row r="2834" spans="2:3" x14ac:dyDescent="0.3">
      <c r="B2834" s="179">
        <v>87663</v>
      </c>
      <c r="C2834" s="175" t="s">
        <v>2925</v>
      </c>
    </row>
    <row r="2835" spans="2:3" x14ac:dyDescent="0.3">
      <c r="B2835" s="179">
        <v>88163</v>
      </c>
      <c r="C2835" s="175" t="s">
        <v>2926</v>
      </c>
    </row>
    <row r="2836" spans="2:3" x14ac:dyDescent="0.3">
      <c r="B2836" s="179">
        <v>89212</v>
      </c>
      <c r="C2836" s="175" t="s">
        <v>2927</v>
      </c>
    </row>
    <row r="2837" spans="2:3" x14ac:dyDescent="0.3">
      <c r="B2837" s="179">
        <v>90598</v>
      </c>
      <c r="C2837" s="175" t="s">
        <v>2928</v>
      </c>
    </row>
    <row r="2838" spans="2:3" x14ac:dyDescent="0.3">
      <c r="B2838" s="179">
        <v>100631</v>
      </c>
      <c r="C2838" s="175" t="s">
        <v>2929</v>
      </c>
    </row>
    <row r="2839" spans="2:3" x14ac:dyDescent="0.3">
      <c r="B2839" s="179">
        <v>100635</v>
      </c>
      <c r="C2839" s="175" t="s">
        <v>2930</v>
      </c>
    </row>
    <row r="2840" spans="2:3" x14ac:dyDescent="0.3">
      <c r="B2840" s="179">
        <v>100815</v>
      </c>
      <c r="C2840" s="175" t="s">
        <v>2931</v>
      </c>
    </row>
    <row r="2841" spans="2:3" x14ac:dyDescent="0.3">
      <c r="B2841" s="179">
        <v>100816</v>
      </c>
      <c r="C2841" s="175" t="s">
        <v>2932</v>
      </c>
    </row>
    <row r="2842" spans="2:3" x14ac:dyDescent="0.3">
      <c r="B2842" s="179">
        <v>2345</v>
      </c>
      <c r="C2842" s="175" t="s">
        <v>2933</v>
      </c>
    </row>
    <row r="2843" spans="2:3" x14ac:dyDescent="0.3">
      <c r="B2843" s="179">
        <v>2411</v>
      </c>
      <c r="C2843" s="175" t="s">
        <v>2934</v>
      </c>
    </row>
    <row r="2844" spans="2:3" x14ac:dyDescent="0.3">
      <c r="B2844" s="179">
        <v>5089</v>
      </c>
      <c r="C2844" s="175" t="s">
        <v>2935</v>
      </c>
    </row>
    <row r="2845" spans="2:3" x14ac:dyDescent="0.3">
      <c r="B2845" s="179">
        <v>83881</v>
      </c>
      <c r="C2845" s="175" t="s">
        <v>2936</v>
      </c>
    </row>
    <row r="2846" spans="2:3" x14ac:dyDescent="0.3">
      <c r="B2846" s="179">
        <v>90456</v>
      </c>
      <c r="C2846" s="175" t="s">
        <v>2937</v>
      </c>
    </row>
    <row r="2847" spans="2:3" x14ac:dyDescent="0.3">
      <c r="B2847" s="179">
        <v>90779</v>
      </c>
      <c r="C2847" s="175" t="s">
        <v>2938</v>
      </c>
    </row>
    <row r="2848" spans="2:3" x14ac:dyDescent="0.3">
      <c r="B2848" s="179">
        <v>100644</v>
      </c>
      <c r="C2848" s="175" t="s">
        <v>2939</v>
      </c>
    </row>
    <row r="2849" spans="2:3" x14ac:dyDescent="0.3">
      <c r="B2849" s="179">
        <v>101172</v>
      </c>
      <c r="C2849" s="175" t="s">
        <v>2940</v>
      </c>
    </row>
    <row r="2850" spans="2:3" x14ac:dyDescent="0.3">
      <c r="B2850" s="179">
        <v>90218</v>
      </c>
      <c r="C2850" s="175" t="s">
        <v>2941</v>
      </c>
    </row>
    <row r="2851" spans="2:3" x14ac:dyDescent="0.3">
      <c r="B2851" s="179">
        <v>90219</v>
      </c>
      <c r="C2851" s="175" t="s">
        <v>2942</v>
      </c>
    </row>
    <row r="2852" spans="2:3" x14ac:dyDescent="0.3">
      <c r="B2852" s="179">
        <v>90220</v>
      </c>
      <c r="C2852" s="175" t="s">
        <v>2943</v>
      </c>
    </row>
    <row r="2853" spans="2:3" x14ac:dyDescent="0.3">
      <c r="B2853" s="179">
        <v>90221</v>
      </c>
      <c r="C2853" s="175" t="s">
        <v>2944</v>
      </c>
    </row>
    <row r="2854" spans="2:3" x14ac:dyDescent="0.3">
      <c r="B2854" s="179">
        <v>90223</v>
      </c>
      <c r="C2854" s="175" t="s">
        <v>2945</v>
      </c>
    </row>
    <row r="2855" spans="2:3" x14ac:dyDescent="0.3">
      <c r="B2855" s="179">
        <v>90268</v>
      </c>
      <c r="C2855" s="175" t="s">
        <v>2946</v>
      </c>
    </row>
    <row r="2856" spans="2:3" x14ac:dyDescent="0.3">
      <c r="B2856" s="179">
        <v>90269</v>
      </c>
      <c r="C2856" s="175" t="s">
        <v>2947</v>
      </c>
    </row>
    <row r="2857" spans="2:3" x14ac:dyDescent="0.3">
      <c r="B2857" s="179">
        <v>23024</v>
      </c>
      <c r="C2857" s="175" t="s">
        <v>2948</v>
      </c>
    </row>
    <row r="2858" spans="2:3" x14ac:dyDescent="0.3">
      <c r="B2858" s="179">
        <v>87937</v>
      </c>
      <c r="C2858" s="175" t="s">
        <v>2949</v>
      </c>
    </row>
    <row r="2859" spans="2:3" x14ac:dyDescent="0.3">
      <c r="B2859" s="179">
        <v>89990</v>
      </c>
      <c r="C2859" s="175" t="s">
        <v>2950</v>
      </c>
    </row>
    <row r="2860" spans="2:3" x14ac:dyDescent="0.3">
      <c r="B2860" s="179">
        <v>90589</v>
      </c>
      <c r="C2860" s="175" t="s">
        <v>2951</v>
      </c>
    </row>
    <row r="2861" spans="2:3" x14ac:dyDescent="0.3">
      <c r="B2861" s="179">
        <v>5618</v>
      </c>
      <c r="C2861" s="175" t="s">
        <v>2952</v>
      </c>
    </row>
    <row r="2862" spans="2:3" x14ac:dyDescent="0.3">
      <c r="B2862" s="179">
        <v>22585</v>
      </c>
      <c r="C2862" s="175" t="s">
        <v>2953</v>
      </c>
    </row>
    <row r="2863" spans="2:3" x14ac:dyDescent="0.3">
      <c r="B2863" s="179">
        <v>22751</v>
      </c>
      <c r="C2863" s="175" t="s">
        <v>2954</v>
      </c>
    </row>
    <row r="2864" spans="2:3" x14ac:dyDescent="0.3">
      <c r="B2864" s="179">
        <v>90831</v>
      </c>
      <c r="C2864" s="175" t="s">
        <v>2955</v>
      </c>
    </row>
    <row r="2865" spans="2:3" x14ac:dyDescent="0.3">
      <c r="B2865" s="179">
        <v>91017</v>
      </c>
      <c r="C2865" s="175" t="s">
        <v>2956</v>
      </c>
    </row>
    <row r="2866" spans="2:3" x14ac:dyDescent="0.3">
      <c r="B2866" s="179">
        <v>101404</v>
      </c>
      <c r="C2866" s="175" t="s">
        <v>2957</v>
      </c>
    </row>
    <row r="2867" spans="2:3" x14ac:dyDescent="0.3">
      <c r="B2867" s="179">
        <v>86038</v>
      </c>
      <c r="C2867" s="175" t="s">
        <v>2958</v>
      </c>
    </row>
    <row r="2868" spans="2:3" x14ac:dyDescent="0.3">
      <c r="B2868" s="179">
        <v>86791</v>
      </c>
      <c r="C2868" s="175" t="s">
        <v>2959</v>
      </c>
    </row>
    <row r="2869" spans="2:3" x14ac:dyDescent="0.3">
      <c r="B2869" s="179">
        <v>87348</v>
      </c>
      <c r="C2869" s="175" t="s">
        <v>2960</v>
      </c>
    </row>
    <row r="2870" spans="2:3" x14ac:dyDescent="0.3">
      <c r="B2870" s="179">
        <v>87531</v>
      </c>
      <c r="C2870" s="175" t="s">
        <v>2961</v>
      </c>
    </row>
    <row r="2871" spans="2:3" x14ac:dyDescent="0.3">
      <c r="B2871" s="179">
        <v>87532</v>
      </c>
      <c r="C2871" s="175" t="s">
        <v>2962</v>
      </c>
    </row>
    <row r="2872" spans="2:3" x14ac:dyDescent="0.3">
      <c r="B2872" s="179">
        <v>87544</v>
      </c>
      <c r="C2872" s="175" t="s">
        <v>2963</v>
      </c>
    </row>
    <row r="2873" spans="2:3" x14ac:dyDescent="0.3">
      <c r="B2873" s="179">
        <v>88104</v>
      </c>
      <c r="C2873" s="175" t="s">
        <v>2964</v>
      </c>
    </row>
    <row r="2874" spans="2:3" x14ac:dyDescent="0.3">
      <c r="B2874" s="179">
        <v>89737</v>
      </c>
      <c r="C2874" s="175" t="s">
        <v>2965</v>
      </c>
    </row>
    <row r="2875" spans="2:3" x14ac:dyDescent="0.3">
      <c r="B2875" s="179">
        <v>2171</v>
      </c>
      <c r="C2875" s="175" t="s">
        <v>2966</v>
      </c>
    </row>
    <row r="2876" spans="2:3" x14ac:dyDescent="0.3">
      <c r="B2876" s="179">
        <v>2173</v>
      </c>
      <c r="C2876" s="175" t="s">
        <v>2967</v>
      </c>
    </row>
    <row r="2877" spans="2:3" x14ac:dyDescent="0.3">
      <c r="B2877" s="179">
        <v>2174</v>
      </c>
      <c r="C2877" s="175" t="s">
        <v>2968</v>
      </c>
    </row>
    <row r="2878" spans="2:3" x14ac:dyDescent="0.3">
      <c r="B2878" s="179">
        <v>2434</v>
      </c>
      <c r="C2878" s="175" t="s">
        <v>2969</v>
      </c>
    </row>
    <row r="2879" spans="2:3" x14ac:dyDescent="0.3">
      <c r="B2879" s="179">
        <v>4149</v>
      </c>
      <c r="C2879" s="175" t="s">
        <v>2970</v>
      </c>
    </row>
    <row r="2880" spans="2:3" x14ac:dyDescent="0.3">
      <c r="B2880" s="179">
        <v>4886</v>
      </c>
      <c r="C2880" s="175" t="s">
        <v>2971</v>
      </c>
    </row>
    <row r="2881" spans="2:3" x14ac:dyDescent="0.3">
      <c r="B2881" s="179">
        <v>4989</v>
      </c>
      <c r="C2881" s="175" t="s">
        <v>2972</v>
      </c>
    </row>
    <row r="2882" spans="2:3" x14ac:dyDescent="0.3">
      <c r="B2882" s="179">
        <v>5752</v>
      </c>
      <c r="C2882" s="175" t="s">
        <v>2973</v>
      </c>
    </row>
    <row r="2883" spans="2:3" x14ac:dyDescent="0.3">
      <c r="B2883" s="179">
        <v>6185</v>
      </c>
      <c r="C2883" s="175" t="s">
        <v>2974</v>
      </c>
    </row>
    <row r="2884" spans="2:3" x14ac:dyDescent="0.3">
      <c r="B2884" s="179">
        <v>7700</v>
      </c>
      <c r="C2884" s="175" t="s">
        <v>2975</v>
      </c>
    </row>
    <row r="2885" spans="2:3" x14ac:dyDescent="0.3">
      <c r="B2885" s="179">
        <v>12693</v>
      </c>
      <c r="C2885" s="175" t="s">
        <v>2976</v>
      </c>
    </row>
    <row r="2886" spans="2:3" x14ac:dyDescent="0.3">
      <c r="B2886" s="179">
        <v>90699</v>
      </c>
      <c r="C2886" s="175" t="s">
        <v>2977</v>
      </c>
    </row>
    <row r="2887" spans="2:3" x14ac:dyDescent="0.3">
      <c r="B2887" s="179">
        <v>90700</v>
      </c>
      <c r="C2887" s="175" t="s">
        <v>2978</v>
      </c>
    </row>
    <row r="2888" spans="2:3" x14ac:dyDescent="0.3">
      <c r="B2888" s="179">
        <v>100467</v>
      </c>
      <c r="C2888" s="175" t="s">
        <v>2979</v>
      </c>
    </row>
    <row r="2889" spans="2:3" x14ac:dyDescent="0.3">
      <c r="B2889" s="179">
        <v>100468</v>
      </c>
      <c r="C2889" s="175" t="s">
        <v>2980</v>
      </c>
    </row>
    <row r="2890" spans="2:3" x14ac:dyDescent="0.3">
      <c r="B2890" s="179">
        <v>100940</v>
      </c>
      <c r="C2890" s="175" t="s">
        <v>2981</v>
      </c>
    </row>
    <row r="2891" spans="2:3" x14ac:dyDescent="0.3">
      <c r="B2891" s="179">
        <v>101000</v>
      </c>
      <c r="C2891" s="175" t="s">
        <v>2982</v>
      </c>
    </row>
    <row r="2892" spans="2:3" x14ac:dyDescent="0.3">
      <c r="B2892" s="179">
        <v>101001</v>
      </c>
      <c r="C2892" s="175" t="s">
        <v>2983</v>
      </c>
    </row>
    <row r="2893" spans="2:3" x14ac:dyDescent="0.3">
      <c r="B2893" s="179">
        <v>101117</v>
      </c>
      <c r="C2893" s="175" t="s">
        <v>2984</v>
      </c>
    </row>
    <row r="2894" spans="2:3" x14ac:dyDescent="0.3">
      <c r="B2894" s="179">
        <v>101118</v>
      </c>
      <c r="C2894" s="175" t="s">
        <v>2985</v>
      </c>
    </row>
    <row r="2895" spans="2:3" x14ac:dyDescent="0.3">
      <c r="B2895" s="179">
        <v>87126</v>
      </c>
      <c r="C2895" s="175" t="s">
        <v>2986</v>
      </c>
    </row>
    <row r="2896" spans="2:3" x14ac:dyDescent="0.3">
      <c r="B2896" s="179">
        <v>87795</v>
      </c>
      <c r="C2896" s="175" t="s">
        <v>2987</v>
      </c>
    </row>
    <row r="2897" spans="2:3" x14ac:dyDescent="0.3">
      <c r="B2897" s="179">
        <v>87797</v>
      </c>
      <c r="C2897" s="175" t="s">
        <v>2988</v>
      </c>
    </row>
    <row r="2898" spans="2:3" x14ac:dyDescent="0.3">
      <c r="B2898" s="179">
        <v>88290</v>
      </c>
      <c r="C2898" s="175" t="s">
        <v>2989</v>
      </c>
    </row>
    <row r="2899" spans="2:3" x14ac:dyDescent="0.3">
      <c r="B2899" s="179">
        <v>88338</v>
      </c>
      <c r="C2899" s="175" t="s">
        <v>2990</v>
      </c>
    </row>
    <row r="2900" spans="2:3" x14ac:dyDescent="0.3">
      <c r="B2900" s="179">
        <v>88984</v>
      </c>
      <c r="C2900" s="175" t="s">
        <v>2991</v>
      </c>
    </row>
    <row r="2901" spans="2:3" x14ac:dyDescent="0.3">
      <c r="B2901" s="179">
        <v>89718</v>
      </c>
      <c r="C2901" s="175" t="s">
        <v>2992</v>
      </c>
    </row>
    <row r="2902" spans="2:3" x14ac:dyDescent="0.3">
      <c r="B2902" s="179">
        <v>4887</v>
      </c>
      <c r="C2902" s="175" t="s">
        <v>2993</v>
      </c>
    </row>
    <row r="2903" spans="2:3" x14ac:dyDescent="0.3">
      <c r="B2903" s="179">
        <v>12960</v>
      </c>
      <c r="C2903" s="175" t="s">
        <v>2994</v>
      </c>
    </row>
    <row r="2904" spans="2:3" x14ac:dyDescent="0.3">
      <c r="B2904" s="179">
        <v>13415</v>
      </c>
      <c r="C2904" s="175" t="s">
        <v>2995</v>
      </c>
    </row>
    <row r="2905" spans="2:3" x14ac:dyDescent="0.3">
      <c r="B2905" s="179">
        <v>16513</v>
      </c>
      <c r="C2905" s="175" t="s">
        <v>2996</v>
      </c>
    </row>
    <row r="2906" spans="2:3" x14ac:dyDescent="0.3">
      <c r="B2906" s="179">
        <v>90556</v>
      </c>
      <c r="C2906" s="175" t="s">
        <v>2997</v>
      </c>
    </row>
    <row r="2907" spans="2:3" x14ac:dyDescent="0.3">
      <c r="B2907" s="179">
        <v>100517</v>
      </c>
      <c r="C2907" s="175" t="s">
        <v>2998</v>
      </c>
    </row>
    <row r="2908" spans="2:3" x14ac:dyDescent="0.3">
      <c r="B2908" s="179">
        <v>101279</v>
      </c>
      <c r="C2908" s="175" t="s">
        <v>2999</v>
      </c>
    </row>
    <row r="2909" spans="2:3" x14ac:dyDescent="0.3">
      <c r="B2909" s="179">
        <v>101361</v>
      </c>
      <c r="C2909" s="175" t="s">
        <v>3000</v>
      </c>
    </row>
    <row r="2910" spans="2:3" x14ac:dyDescent="0.3">
      <c r="B2910" s="179">
        <v>87595</v>
      </c>
      <c r="C2910" s="175" t="s">
        <v>3001</v>
      </c>
    </row>
    <row r="2911" spans="2:3" x14ac:dyDescent="0.3">
      <c r="B2911" s="179">
        <v>88744</v>
      </c>
      <c r="C2911" s="175" t="s">
        <v>3002</v>
      </c>
    </row>
    <row r="2912" spans="2:3" x14ac:dyDescent="0.3">
      <c r="B2912" s="179">
        <v>88786</v>
      </c>
      <c r="C2912" s="175" t="s">
        <v>3003</v>
      </c>
    </row>
    <row r="2913" spans="2:3" x14ac:dyDescent="0.3">
      <c r="B2913" s="179">
        <v>89991</v>
      </c>
      <c r="C2913" s="175" t="s">
        <v>3004</v>
      </c>
    </row>
    <row r="2914" spans="2:3" x14ac:dyDescent="0.3">
      <c r="B2914" s="179">
        <v>90148</v>
      </c>
      <c r="C2914" s="175" t="s">
        <v>3005</v>
      </c>
    </row>
    <row r="2915" spans="2:3" x14ac:dyDescent="0.3">
      <c r="B2915" s="179">
        <v>90299</v>
      </c>
      <c r="C2915" s="175" t="s">
        <v>3006</v>
      </c>
    </row>
    <row r="2916" spans="2:3" x14ac:dyDescent="0.3">
      <c r="B2916" s="179">
        <v>101585</v>
      </c>
      <c r="C2916" s="175" t="s">
        <v>3007</v>
      </c>
    </row>
    <row r="2917" spans="2:3" x14ac:dyDescent="0.3">
      <c r="B2917" s="179">
        <v>101586</v>
      </c>
      <c r="C2917" s="175" t="s">
        <v>3008</v>
      </c>
    </row>
    <row r="2918" spans="2:3" x14ac:dyDescent="0.3">
      <c r="B2918" s="179">
        <v>1340</v>
      </c>
      <c r="C2918" s="175" t="s">
        <v>3009</v>
      </c>
    </row>
    <row r="2919" spans="2:3" x14ac:dyDescent="0.3">
      <c r="B2919" s="179">
        <v>1775</v>
      </c>
      <c r="C2919" s="175" t="s">
        <v>3010</v>
      </c>
    </row>
    <row r="2920" spans="2:3" x14ac:dyDescent="0.3">
      <c r="B2920" s="179">
        <v>2405</v>
      </c>
      <c r="C2920" s="175" t="s">
        <v>3011</v>
      </c>
    </row>
    <row r="2921" spans="2:3" x14ac:dyDescent="0.3">
      <c r="B2921" s="179">
        <v>2465</v>
      </c>
      <c r="C2921" s="175" t="s">
        <v>3012</v>
      </c>
    </row>
    <row r="2922" spans="2:3" x14ac:dyDescent="0.3">
      <c r="B2922" s="179">
        <v>2533</v>
      </c>
      <c r="C2922" s="175" t="s">
        <v>3013</v>
      </c>
    </row>
    <row r="2923" spans="2:3" x14ac:dyDescent="0.3">
      <c r="B2923" s="179">
        <v>4567</v>
      </c>
      <c r="C2923" s="175" t="s">
        <v>3014</v>
      </c>
    </row>
    <row r="2924" spans="2:3" x14ac:dyDescent="0.3">
      <c r="B2924" s="179">
        <v>6018</v>
      </c>
      <c r="C2924" s="175" t="s">
        <v>3015</v>
      </c>
    </row>
    <row r="2925" spans="2:3" x14ac:dyDescent="0.3">
      <c r="B2925" s="179">
        <v>6278</v>
      </c>
      <c r="C2925" s="175" t="s">
        <v>3016</v>
      </c>
    </row>
    <row r="2926" spans="2:3" x14ac:dyDescent="0.3">
      <c r="B2926" s="179">
        <v>8153</v>
      </c>
      <c r="C2926" s="175" t="s">
        <v>3017</v>
      </c>
    </row>
    <row r="2927" spans="2:3" x14ac:dyDescent="0.3">
      <c r="B2927" s="179">
        <v>90738</v>
      </c>
      <c r="C2927" s="175" t="s">
        <v>3018</v>
      </c>
    </row>
    <row r="2928" spans="2:3" x14ac:dyDescent="0.3">
      <c r="B2928" s="179">
        <v>100743</v>
      </c>
      <c r="C2928" s="175" t="s">
        <v>3019</v>
      </c>
    </row>
    <row r="2929" spans="2:3" x14ac:dyDescent="0.3">
      <c r="B2929" s="179">
        <v>100818</v>
      </c>
      <c r="C2929" s="175" t="s">
        <v>3020</v>
      </c>
    </row>
    <row r="2930" spans="2:3" x14ac:dyDescent="0.3">
      <c r="B2930" s="179">
        <v>100825</v>
      </c>
      <c r="C2930" s="175" t="s">
        <v>3021</v>
      </c>
    </row>
    <row r="2931" spans="2:3" x14ac:dyDescent="0.3">
      <c r="B2931" s="179">
        <v>100928</v>
      </c>
      <c r="C2931" s="175" t="s">
        <v>3022</v>
      </c>
    </row>
    <row r="2932" spans="2:3" x14ac:dyDescent="0.3">
      <c r="B2932" s="179">
        <v>101402</v>
      </c>
      <c r="C2932" s="175" t="s">
        <v>3023</v>
      </c>
    </row>
    <row r="2933" spans="2:3" x14ac:dyDescent="0.3">
      <c r="B2933" s="179">
        <v>101568</v>
      </c>
      <c r="C2933" s="175" t="s">
        <v>3024</v>
      </c>
    </row>
    <row r="2934" spans="2:3" x14ac:dyDescent="0.3">
      <c r="B2934" s="179">
        <v>87241</v>
      </c>
      <c r="C2934" s="175" t="s">
        <v>3025</v>
      </c>
    </row>
    <row r="2935" spans="2:3" x14ac:dyDescent="0.3">
      <c r="B2935" s="179">
        <v>87242</v>
      </c>
      <c r="C2935" s="175" t="s">
        <v>3026</v>
      </c>
    </row>
    <row r="2936" spans="2:3" x14ac:dyDescent="0.3">
      <c r="B2936" s="179">
        <v>87535</v>
      </c>
      <c r="C2936" s="175" t="s">
        <v>3027</v>
      </c>
    </row>
    <row r="2937" spans="2:3" x14ac:dyDescent="0.3">
      <c r="B2937" s="179">
        <v>90928</v>
      </c>
      <c r="C2937" s="175" t="s">
        <v>3028</v>
      </c>
    </row>
    <row r="2938" spans="2:3" x14ac:dyDescent="0.3">
      <c r="B2938" s="179">
        <v>91011</v>
      </c>
      <c r="C2938" s="175" t="s">
        <v>3029</v>
      </c>
    </row>
    <row r="2939" spans="2:3" x14ac:dyDescent="0.3">
      <c r="B2939" s="179">
        <v>100985</v>
      </c>
      <c r="C2939" s="175" t="s">
        <v>3030</v>
      </c>
    </row>
    <row r="2940" spans="2:3" x14ac:dyDescent="0.3">
      <c r="B2940" s="179">
        <v>101027</v>
      </c>
      <c r="C2940" s="175" t="s">
        <v>3031</v>
      </c>
    </row>
    <row r="2941" spans="2:3" x14ac:dyDescent="0.3">
      <c r="B2941" s="179">
        <v>1774</v>
      </c>
      <c r="C2941" s="175" t="s">
        <v>3032</v>
      </c>
    </row>
    <row r="2942" spans="2:3" x14ac:dyDescent="0.3">
      <c r="B2942" s="179">
        <v>2901</v>
      </c>
      <c r="C2942" s="175" t="s">
        <v>3033</v>
      </c>
    </row>
    <row r="2943" spans="2:3" x14ac:dyDescent="0.3">
      <c r="B2943" s="179">
        <v>5921</v>
      </c>
      <c r="C2943" s="175" t="s">
        <v>3034</v>
      </c>
    </row>
    <row r="2944" spans="2:3" x14ac:dyDescent="0.3">
      <c r="B2944" s="179">
        <v>7644</v>
      </c>
      <c r="C2944" s="175" t="s">
        <v>3035</v>
      </c>
    </row>
    <row r="2945" spans="2:3" x14ac:dyDescent="0.3">
      <c r="B2945" s="179">
        <v>8508</v>
      </c>
      <c r="C2945" s="175" t="s">
        <v>3036</v>
      </c>
    </row>
    <row r="2946" spans="2:3" x14ac:dyDescent="0.3">
      <c r="B2946" s="179">
        <v>73539</v>
      </c>
      <c r="C2946" s="175" t="s">
        <v>3037</v>
      </c>
    </row>
    <row r="2947" spans="2:3" x14ac:dyDescent="0.3">
      <c r="B2947" s="179">
        <v>90622</v>
      </c>
      <c r="C2947" s="175" t="s">
        <v>3038</v>
      </c>
    </row>
    <row r="2948" spans="2:3" x14ac:dyDescent="0.3">
      <c r="B2948" s="179">
        <v>90680</v>
      </c>
      <c r="C2948" s="175" t="s">
        <v>3039</v>
      </c>
    </row>
    <row r="2949" spans="2:3" x14ac:dyDescent="0.3">
      <c r="B2949" s="179">
        <v>100987</v>
      </c>
      <c r="C2949" s="175" t="s">
        <v>3040</v>
      </c>
    </row>
    <row r="2950" spans="2:3" x14ac:dyDescent="0.3">
      <c r="B2950" s="179">
        <v>101028</v>
      </c>
      <c r="C2950" s="175" t="s">
        <v>3041</v>
      </c>
    </row>
    <row r="2951" spans="2:3" x14ac:dyDescent="0.3">
      <c r="B2951" s="179">
        <v>101407</v>
      </c>
      <c r="C2951" s="175" t="s">
        <v>3042</v>
      </c>
    </row>
    <row r="2952" spans="2:3" x14ac:dyDescent="0.3">
      <c r="B2952" s="179">
        <v>101562</v>
      </c>
      <c r="C2952" s="175" t="s">
        <v>3043</v>
      </c>
    </row>
    <row r="2953" spans="2:3" x14ac:dyDescent="0.3">
      <c r="B2953" s="179">
        <v>90105</v>
      </c>
      <c r="C2953" s="175" t="s">
        <v>3044</v>
      </c>
    </row>
    <row r="2954" spans="2:3" x14ac:dyDescent="0.3">
      <c r="B2954" s="179">
        <v>90107</v>
      </c>
      <c r="C2954" s="175" t="s">
        <v>3045</v>
      </c>
    </row>
    <row r="2955" spans="2:3" x14ac:dyDescent="0.3">
      <c r="B2955" s="179">
        <v>90109</v>
      </c>
      <c r="C2955" s="175" t="s">
        <v>3046</v>
      </c>
    </row>
    <row r="2956" spans="2:3" x14ac:dyDescent="0.3">
      <c r="B2956" s="179">
        <v>90111</v>
      </c>
      <c r="C2956" s="175" t="s">
        <v>3047</v>
      </c>
    </row>
    <row r="2957" spans="2:3" x14ac:dyDescent="0.3">
      <c r="B2957" s="179">
        <v>90112</v>
      </c>
      <c r="C2957" s="175" t="s">
        <v>3048</v>
      </c>
    </row>
    <row r="2958" spans="2:3" x14ac:dyDescent="0.3">
      <c r="B2958" s="179">
        <v>100967</v>
      </c>
      <c r="C2958" s="175" t="s">
        <v>3049</v>
      </c>
    </row>
    <row r="2959" spans="2:3" x14ac:dyDescent="0.3">
      <c r="B2959" s="179">
        <v>101438</v>
      </c>
      <c r="C2959" s="175" t="s">
        <v>3050</v>
      </c>
    </row>
    <row r="2960" spans="2:3" x14ac:dyDescent="0.3">
      <c r="B2960" s="179">
        <v>42116</v>
      </c>
      <c r="C2960" s="175" t="s">
        <v>3051</v>
      </c>
    </row>
    <row r="2961" spans="2:3" x14ac:dyDescent="0.3">
      <c r="B2961" s="179">
        <v>101330</v>
      </c>
      <c r="C2961" s="175" t="s">
        <v>3052</v>
      </c>
    </row>
    <row r="2962" spans="2:3" x14ac:dyDescent="0.3">
      <c r="B2962" s="179">
        <v>85859</v>
      </c>
      <c r="C2962" s="175" t="s">
        <v>3053</v>
      </c>
    </row>
    <row r="2963" spans="2:3" x14ac:dyDescent="0.3">
      <c r="B2963" s="179">
        <v>86027</v>
      </c>
      <c r="C2963" s="175" t="s">
        <v>3054</v>
      </c>
    </row>
    <row r="2964" spans="2:3" x14ac:dyDescent="0.3">
      <c r="B2964" s="179">
        <v>86680</v>
      </c>
      <c r="C2964" s="175" t="s">
        <v>3055</v>
      </c>
    </row>
    <row r="2965" spans="2:3" x14ac:dyDescent="0.3">
      <c r="B2965" s="179">
        <v>86916</v>
      </c>
      <c r="C2965" s="175" t="s">
        <v>3056</v>
      </c>
    </row>
    <row r="2966" spans="2:3" x14ac:dyDescent="0.3">
      <c r="B2966" s="179">
        <v>87257</v>
      </c>
      <c r="C2966" s="175" t="s">
        <v>3057</v>
      </c>
    </row>
    <row r="2967" spans="2:3" x14ac:dyDescent="0.3">
      <c r="B2967" s="179">
        <v>88349</v>
      </c>
      <c r="C2967" s="175" t="s">
        <v>3058</v>
      </c>
    </row>
    <row r="2968" spans="2:3" x14ac:dyDescent="0.3">
      <c r="B2968" s="179">
        <v>88692</v>
      </c>
      <c r="C2968" s="175" t="s">
        <v>3059</v>
      </c>
    </row>
    <row r="2969" spans="2:3" x14ac:dyDescent="0.3">
      <c r="B2969" s="179">
        <v>89739</v>
      </c>
      <c r="C2969" s="175" t="s">
        <v>3060</v>
      </c>
    </row>
    <row r="2970" spans="2:3" x14ac:dyDescent="0.3">
      <c r="B2970" s="179">
        <v>89741</v>
      </c>
      <c r="C2970" s="175" t="s">
        <v>3061</v>
      </c>
    </row>
    <row r="2971" spans="2:3" x14ac:dyDescent="0.3">
      <c r="B2971" s="179">
        <v>89981</v>
      </c>
      <c r="C2971" s="175" t="s">
        <v>3062</v>
      </c>
    </row>
    <row r="2972" spans="2:3" x14ac:dyDescent="0.3">
      <c r="B2972" s="179">
        <v>89983</v>
      </c>
      <c r="C2972" s="175" t="s">
        <v>3063</v>
      </c>
    </row>
    <row r="2973" spans="2:3" x14ac:dyDescent="0.3">
      <c r="B2973" s="179">
        <v>90910</v>
      </c>
      <c r="C2973" s="175" t="s">
        <v>3064</v>
      </c>
    </row>
    <row r="2974" spans="2:3" x14ac:dyDescent="0.3">
      <c r="B2974" s="179">
        <v>91088</v>
      </c>
      <c r="C2974" s="175" t="s">
        <v>3065</v>
      </c>
    </row>
    <row r="2975" spans="2:3" x14ac:dyDescent="0.3">
      <c r="B2975" s="179">
        <v>101067</v>
      </c>
      <c r="C2975" s="175" t="s">
        <v>3066</v>
      </c>
    </row>
    <row r="2976" spans="2:3" x14ac:dyDescent="0.3">
      <c r="B2976" s="179">
        <v>101076</v>
      </c>
      <c r="C2976" s="175" t="s">
        <v>3067</v>
      </c>
    </row>
    <row r="2977" spans="2:3" x14ac:dyDescent="0.3">
      <c r="B2977" s="179">
        <v>101419</v>
      </c>
      <c r="C2977" s="175" t="s">
        <v>3068</v>
      </c>
    </row>
    <row r="2978" spans="2:3" x14ac:dyDescent="0.3">
      <c r="B2978" s="179">
        <v>4705</v>
      </c>
      <c r="C2978" s="175" t="s">
        <v>3069</v>
      </c>
    </row>
    <row r="2979" spans="2:3" x14ac:dyDescent="0.3">
      <c r="B2979" s="179">
        <v>6307</v>
      </c>
      <c r="C2979" s="175" t="s">
        <v>3070</v>
      </c>
    </row>
    <row r="2980" spans="2:3" x14ac:dyDescent="0.3">
      <c r="B2980" s="179">
        <v>8820</v>
      </c>
      <c r="C2980" s="175" t="s">
        <v>3071</v>
      </c>
    </row>
    <row r="2981" spans="2:3" x14ac:dyDescent="0.3">
      <c r="B2981" s="179">
        <v>37303</v>
      </c>
      <c r="C2981" s="175" t="s">
        <v>3072</v>
      </c>
    </row>
    <row r="2982" spans="2:3" x14ac:dyDescent="0.3">
      <c r="B2982" s="179">
        <v>41495</v>
      </c>
      <c r="C2982" s="175" t="s">
        <v>3073</v>
      </c>
    </row>
    <row r="2983" spans="2:3" x14ac:dyDescent="0.3">
      <c r="B2983" s="179">
        <v>73770</v>
      </c>
      <c r="C2983" s="175" t="s">
        <v>3074</v>
      </c>
    </row>
    <row r="2984" spans="2:3" x14ac:dyDescent="0.3">
      <c r="B2984" s="179">
        <v>90770</v>
      </c>
      <c r="C2984" s="175" t="s">
        <v>3075</v>
      </c>
    </row>
    <row r="2985" spans="2:3" x14ac:dyDescent="0.3">
      <c r="B2985" s="179">
        <v>90802</v>
      </c>
      <c r="C2985" s="175" t="s">
        <v>3076</v>
      </c>
    </row>
    <row r="2986" spans="2:3" x14ac:dyDescent="0.3">
      <c r="B2986" s="179">
        <v>91257</v>
      </c>
      <c r="C2986" s="175" t="s">
        <v>3077</v>
      </c>
    </row>
    <row r="2987" spans="2:3" x14ac:dyDescent="0.3">
      <c r="B2987" s="179">
        <v>100502</v>
      </c>
      <c r="C2987" s="175" t="s">
        <v>3078</v>
      </c>
    </row>
    <row r="2988" spans="2:3" x14ac:dyDescent="0.3">
      <c r="B2988" s="179">
        <v>100505</v>
      </c>
      <c r="C2988" s="175" t="s">
        <v>3079</v>
      </c>
    </row>
    <row r="2989" spans="2:3" x14ac:dyDescent="0.3">
      <c r="B2989" s="179">
        <v>87178</v>
      </c>
      <c r="C2989" s="175" t="s">
        <v>3080</v>
      </c>
    </row>
    <row r="2990" spans="2:3" x14ac:dyDescent="0.3">
      <c r="B2990" s="179">
        <v>88069</v>
      </c>
      <c r="C2990" s="175" t="s">
        <v>3081</v>
      </c>
    </row>
    <row r="2991" spans="2:3" x14ac:dyDescent="0.3">
      <c r="B2991" s="179">
        <v>88070</v>
      </c>
      <c r="C2991" s="175" t="s">
        <v>3082</v>
      </c>
    </row>
    <row r="2992" spans="2:3" x14ac:dyDescent="0.3">
      <c r="B2992" s="179">
        <v>88159</v>
      </c>
      <c r="C2992" s="175" t="s">
        <v>3083</v>
      </c>
    </row>
    <row r="2993" spans="2:3" x14ac:dyDescent="0.3">
      <c r="B2993" s="179">
        <v>89063</v>
      </c>
      <c r="C2993" s="175" t="s">
        <v>3084</v>
      </c>
    </row>
    <row r="2994" spans="2:3" x14ac:dyDescent="0.3">
      <c r="B2994" s="179">
        <v>89547</v>
      </c>
      <c r="C2994" s="175" t="s">
        <v>3085</v>
      </c>
    </row>
    <row r="2995" spans="2:3" x14ac:dyDescent="0.3">
      <c r="B2995" s="179">
        <v>89740</v>
      </c>
      <c r="C2995" s="175" t="s">
        <v>3086</v>
      </c>
    </row>
    <row r="2996" spans="2:3" x14ac:dyDescent="0.3">
      <c r="B2996" s="179">
        <v>89908</v>
      </c>
      <c r="C2996" s="175" t="s">
        <v>3087</v>
      </c>
    </row>
    <row r="2997" spans="2:3" x14ac:dyDescent="0.3">
      <c r="B2997" s="179">
        <v>18448</v>
      </c>
      <c r="C2997" s="175" t="s">
        <v>3088</v>
      </c>
    </row>
    <row r="2998" spans="2:3" x14ac:dyDescent="0.3">
      <c r="B2998" s="179">
        <v>24565</v>
      </c>
      <c r="C2998" s="175" t="s">
        <v>3089</v>
      </c>
    </row>
    <row r="2999" spans="2:3" x14ac:dyDescent="0.3">
      <c r="B2999" s="179">
        <v>33850</v>
      </c>
      <c r="C2999" s="175" t="s">
        <v>3090</v>
      </c>
    </row>
    <row r="3000" spans="2:3" x14ac:dyDescent="0.3">
      <c r="B3000" s="179">
        <v>82433</v>
      </c>
      <c r="C3000" s="175" t="s">
        <v>3091</v>
      </c>
    </row>
    <row r="3001" spans="2:3" x14ac:dyDescent="0.3">
      <c r="B3001" s="179">
        <v>90970</v>
      </c>
      <c r="C3001" s="175" t="s">
        <v>3092</v>
      </c>
    </row>
    <row r="3002" spans="2:3" x14ac:dyDescent="0.3">
      <c r="B3002" s="179">
        <v>91179</v>
      </c>
      <c r="C3002" s="175" t="s">
        <v>3093</v>
      </c>
    </row>
    <row r="3003" spans="2:3" x14ac:dyDescent="0.3">
      <c r="B3003" s="179">
        <v>101308</v>
      </c>
      <c r="C3003" s="175" t="s">
        <v>3094</v>
      </c>
    </row>
    <row r="3004" spans="2:3" x14ac:dyDescent="0.3">
      <c r="B3004" s="179">
        <v>101420</v>
      </c>
      <c r="C3004" s="175" t="s">
        <v>3095</v>
      </c>
    </row>
    <row r="3005" spans="2:3" x14ac:dyDescent="0.3">
      <c r="B3005" s="179">
        <v>84908</v>
      </c>
      <c r="C3005" s="175" t="s">
        <v>3096</v>
      </c>
    </row>
    <row r="3006" spans="2:3" x14ac:dyDescent="0.3">
      <c r="B3006" s="179">
        <v>85712</v>
      </c>
      <c r="C3006" s="175" t="s">
        <v>2334</v>
      </c>
    </row>
    <row r="3007" spans="2:3" x14ac:dyDescent="0.3">
      <c r="B3007" s="179">
        <v>87431</v>
      </c>
      <c r="C3007" s="175" t="s">
        <v>3097</v>
      </c>
    </row>
    <row r="3008" spans="2:3" x14ac:dyDescent="0.3">
      <c r="B3008" s="179">
        <v>88289</v>
      </c>
      <c r="C3008" s="175" t="s">
        <v>3098</v>
      </c>
    </row>
    <row r="3009" spans="2:3" x14ac:dyDescent="0.3">
      <c r="B3009" s="179">
        <v>88298</v>
      </c>
      <c r="C3009" s="175" t="s">
        <v>3099</v>
      </c>
    </row>
    <row r="3010" spans="2:3" x14ac:dyDescent="0.3">
      <c r="B3010" s="179">
        <v>88836</v>
      </c>
      <c r="C3010" s="175" t="s">
        <v>3100</v>
      </c>
    </row>
    <row r="3011" spans="2:3" x14ac:dyDescent="0.3">
      <c r="B3011" s="179">
        <v>88928</v>
      </c>
      <c r="C3011" s="175" t="s">
        <v>3101</v>
      </c>
    </row>
    <row r="3012" spans="2:3" x14ac:dyDescent="0.3">
      <c r="B3012" s="179">
        <v>89375</v>
      </c>
      <c r="C3012" s="175" t="s">
        <v>3102</v>
      </c>
    </row>
    <row r="3013" spans="2:3" x14ac:dyDescent="0.3">
      <c r="B3013" s="179">
        <v>89391</v>
      </c>
      <c r="C3013" s="175" t="s">
        <v>3103</v>
      </c>
    </row>
    <row r="3014" spans="2:3" x14ac:dyDescent="0.3">
      <c r="B3014" s="179">
        <v>89770</v>
      </c>
      <c r="C3014" s="175" t="s">
        <v>3104</v>
      </c>
    </row>
    <row r="3015" spans="2:3" x14ac:dyDescent="0.3">
      <c r="B3015" s="179">
        <v>89899</v>
      </c>
      <c r="C3015" s="175" t="s">
        <v>3105</v>
      </c>
    </row>
    <row r="3016" spans="2:3" x14ac:dyDescent="0.3">
      <c r="B3016" s="179">
        <v>89900</v>
      </c>
      <c r="C3016" s="175" t="s">
        <v>3106</v>
      </c>
    </row>
    <row r="3017" spans="2:3" x14ac:dyDescent="0.3">
      <c r="B3017" s="179">
        <v>90703</v>
      </c>
      <c r="C3017" s="175" t="s">
        <v>3107</v>
      </c>
    </row>
    <row r="3018" spans="2:3" x14ac:dyDescent="0.3">
      <c r="B3018" s="179">
        <v>100494</v>
      </c>
      <c r="C3018" s="175" t="s">
        <v>3108</v>
      </c>
    </row>
    <row r="3019" spans="2:3" x14ac:dyDescent="0.3">
      <c r="B3019" s="179">
        <v>100600</v>
      </c>
      <c r="C3019" s="175" t="s">
        <v>3109</v>
      </c>
    </row>
    <row r="3020" spans="2:3" x14ac:dyDescent="0.3">
      <c r="B3020" s="179">
        <v>101109</v>
      </c>
      <c r="C3020" s="175" t="s">
        <v>3110</v>
      </c>
    </row>
    <row r="3021" spans="2:3" x14ac:dyDescent="0.3">
      <c r="B3021" s="179">
        <v>2569</v>
      </c>
      <c r="C3021" s="175" t="s">
        <v>3111</v>
      </c>
    </row>
    <row r="3022" spans="2:3" x14ac:dyDescent="0.3">
      <c r="B3022" s="179">
        <v>5052</v>
      </c>
      <c r="C3022" s="175" t="s">
        <v>3112</v>
      </c>
    </row>
    <row r="3023" spans="2:3" x14ac:dyDescent="0.3">
      <c r="B3023" s="179">
        <v>21135</v>
      </c>
      <c r="C3023" s="175" t="s">
        <v>3113</v>
      </c>
    </row>
    <row r="3024" spans="2:3" x14ac:dyDescent="0.3">
      <c r="B3024" s="179">
        <v>51884</v>
      </c>
      <c r="C3024" s="175" t="s">
        <v>3114</v>
      </c>
    </row>
    <row r="3025" spans="2:3" x14ac:dyDescent="0.3">
      <c r="B3025" s="179">
        <v>100501</v>
      </c>
      <c r="C3025" s="175" t="s">
        <v>3115</v>
      </c>
    </row>
    <row r="3026" spans="2:3" x14ac:dyDescent="0.3">
      <c r="B3026" s="179">
        <v>100537</v>
      </c>
      <c r="C3026" s="175" t="s">
        <v>3116</v>
      </c>
    </row>
    <row r="3027" spans="2:3" x14ac:dyDescent="0.3">
      <c r="B3027" s="179">
        <v>100672</v>
      </c>
      <c r="C3027" s="175" t="s">
        <v>3117</v>
      </c>
    </row>
    <row r="3028" spans="2:3" x14ac:dyDescent="0.3">
      <c r="B3028" s="179">
        <v>88153</v>
      </c>
      <c r="C3028" s="175" t="s">
        <v>3118</v>
      </c>
    </row>
    <row r="3029" spans="2:3" x14ac:dyDescent="0.3">
      <c r="B3029" s="179">
        <v>88154</v>
      </c>
      <c r="C3029" s="175" t="s">
        <v>3119</v>
      </c>
    </row>
    <row r="3030" spans="2:3" x14ac:dyDescent="0.3">
      <c r="B3030" s="179">
        <v>90418</v>
      </c>
      <c r="C3030" s="175" t="s">
        <v>3120</v>
      </c>
    </row>
    <row r="3031" spans="2:3" x14ac:dyDescent="0.3">
      <c r="B3031" s="179">
        <v>2184</v>
      </c>
      <c r="C3031" s="175" t="s">
        <v>3121</v>
      </c>
    </row>
    <row r="3032" spans="2:3" x14ac:dyDescent="0.3">
      <c r="B3032" s="179">
        <v>34362</v>
      </c>
      <c r="C3032" s="175" t="s">
        <v>3122</v>
      </c>
    </row>
    <row r="3033" spans="2:3" x14ac:dyDescent="0.3">
      <c r="B3033" s="179">
        <v>100773</v>
      </c>
      <c r="C3033" s="175" t="s">
        <v>3123</v>
      </c>
    </row>
    <row r="3034" spans="2:3" x14ac:dyDescent="0.3">
      <c r="B3034" s="179">
        <v>100877</v>
      </c>
      <c r="C3034" s="175" t="s">
        <v>3124</v>
      </c>
    </row>
    <row r="3035" spans="2:3" x14ac:dyDescent="0.3">
      <c r="B3035" s="179">
        <v>101173</v>
      </c>
      <c r="C3035" s="175" t="s">
        <v>3125</v>
      </c>
    </row>
    <row r="3036" spans="2:3" x14ac:dyDescent="0.3">
      <c r="B3036" s="179">
        <v>86350</v>
      </c>
      <c r="C3036" s="175" t="s">
        <v>3126</v>
      </c>
    </row>
    <row r="3037" spans="2:3" x14ac:dyDescent="0.3">
      <c r="B3037" s="179">
        <v>86827</v>
      </c>
      <c r="C3037" s="175" t="s">
        <v>3127</v>
      </c>
    </row>
    <row r="3038" spans="2:3" x14ac:dyDescent="0.3">
      <c r="B3038" s="179">
        <v>89479</v>
      </c>
      <c r="C3038" s="175" t="s">
        <v>3128</v>
      </c>
    </row>
    <row r="3039" spans="2:3" x14ac:dyDescent="0.3">
      <c r="B3039" s="179">
        <v>89743</v>
      </c>
      <c r="C3039" s="175" t="s">
        <v>3129</v>
      </c>
    </row>
    <row r="3040" spans="2:3" x14ac:dyDescent="0.3">
      <c r="B3040" s="179">
        <v>100759</v>
      </c>
      <c r="C3040" s="175" t="s">
        <v>3130</v>
      </c>
    </row>
    <row r="3041" spans="2:3" x14ac:dyDescent="0.3">
      <c r="B3041" s="179">
        <v>101120</v>
      </c>
      <c r="C3041" s="175" t="s">
        <v>3131</v>
      </c>
    </row>
    <row r="3042" spans="2:3" x14ac:dyDescent="0.3">
      <c r="B3042" s="179">
        <v>101296</v>
      </c>
      <c r="C3042" s="175" t="s">
        <v>3132</v>
      </c>
    </row>
    <row r="3043" spans="2:3" x14ac:dyDescent="0.3">
      <c r="B3043" s="179">
        <v>1971</v>
      </c>
      <c r="C3043" s="175" t="s">
        <v>3133</v>
      </c>
    </row>
    <row r="3044" spans="2:3" x14ac:dyDescent="0.3">
      <c r="B3044" s="179">
        <v>2011</v>
      </c>
      <c r="C3044" s="175" t="s">
        <v>3134</v>
      </c>
    </row>
    <row r="3045" spans="2:3" x14ac:dyDescent="0.3">
      <c r="B3045" s="179">
        <v>2403</v>
      </c>
      <c r="C3045" s="175" t="s">
        <v>3135</v>
      </c>
    </row>
    <row r="3046" spans="2:3" x14ac:dyDescent="0.3">
      <c r="B3046" s="179">
        <v>3006</v>
      </c>
      <c r="C3046" s="175" t="s">
        <v>3136</v>
      </c>
    </row>
    <row r="3047" spans="2:3" x14ac:dyDescent="0.3">
      <c r="B3047" s="179">
        <v>3406</v>
      </c>
      <c r="C3047" s="175" t="s">
        <v>3137</v>
      </c>
    </row>
    <row r="3048" spans="2:3" x14ac:dyDescent="0.3">
      <c r="B3048" s="179">
        <v>6096</v>
      </c>
      <c r="C3048" s="175" t="s">
        <v>3138</v>
      </c>
    </row>
    <row r="3049" spans="2:3" x14ac:dyDescent="0.3">
      <c r="B3049" s="179">
        <v>12615</v>
      </c>
      <c r="C3049" s="175" t="s">
        <v>3139</v>
      </c>
    </row>
    <row r="3050" spans="2:3" x14ac:dyDescent="0.3">
      <c r="B3050" s="179">
        <v>71809</v>
      </c>
      <c r="C3050" s="175" t="s">
        <v>3140</v>
      </c>
    </row>
    <row r="3051" spans="2:3" x14ac:dyDescent="0.3">
      <c r="B3051" s="179">
        <v>90728</v>
      </c>
      <c r="C3051" s="175" t="s">
        <v>3141</v>
      </c>
    </row>
    <row r="3052" spans="2:3" x14ac:dyDescent="0.3">
      <c r="B3052" s="179">
        <v>90960</v>
      </c>
      <c r="C3052" s="175" t="s">
        <v>3142</v>
      </c>
    </row>
    <row r="3053" spans="2:3" x14ac:dyDescent="0.3">
      <c r="B3053" s="179">
        <v>90961</v>
      </c>
      <c r="C3053" s="175" t="s">
        <v>3143</v>
      </c>
    </row>
    <row r="3054" spans="2:3" x14ac:dyDescent="0.3">
      <c r="B3054" s="179">
        <v>100481</v>
      </c>
      <c r="C3054" s="175" t="s">
        <v>3144</v>
      </c>
    </row>
    <row r="3055" spans="2:3" x14ac:dyDescent="0.3">
      <c r="B3055" s="179">
        <v>100634</v>
      </c>
      <c r="C3055" s="175" t="s">
        <v>3145</v>
      </c>
    </row>
    <row r="3056" spans="2:3" x14ac:dyDescent="0.3">
      <c r="B3056" s="179">
        <v>101023</v>
      </c>
      <c r="C3056" s="175" t="s">
        <v>3146</v>
      </c>
    </row>
    <row r="3057" spans="2:3" x14ac:dyDescent="0.3">
      <c r="B3057" s="179">
        <v>101262</v>
      </c>
      <c r="C3057" s="175" t="s">
        <v>3147</v>
      </c>
    </row>
    <row r="3058" spans="2:3" x14ac:dyDescent="0.3">
      <c r="B3058" s="179">
        <v>101298</v>
      </c>
      <c r="C3058" s="175" t="s">
        <v>3148</v>
      </c>
    </row>
    <row r="3059" spans="2:3" x14ac:dyDescent="0.3">
      <c r="B3059" s="179">
        <v>86533</v>
      </c>
      <c r="C3059" s="175" t="s">
        <v>3149</v>
      </c>
    </row>
    <row r="3060" spans="2:3" x14ac:dyDescent="0.3">
      <c r="B3060" s="179">
        <v>86883</v>
      </c>
      <c r="C3060" s="175" t="s">
        <v>3150</v>
      </c>
    </row>
    <row r="3061" spans="2:3" x14ac:dyDescent="0.3">
      <c r="B3061" s="179">
        <v>88334</v>
      </c>
      <c r="C3061" s="175" t="s">
        <v>3151</v>
      </c>
    </row>
    <row r="3062" spans="2:3" x14ac:dyDescent="0.3">
      <c r="B3062" s="179">
        <v>88336</v>
      </c>
      <c r="C3062" s="175" t="s">
        <v>3152</v>
      </c>
    </row>
    <row r="3063" spans="2:3" x14ac:dyDescent="0.3">
      <c r="B3063" s="179">
        <v>88986</v>
      </c>
      <c r="C3063" s="175" t="s">
        <v>3153</v>
      </c>
    </row>
    <row r="3064" spans="2:3" x14ac:dyDescent="0.3">
      <c r="B3064" s="179">
        <v>88987</v>
      </c>
      <c r="C3064" s="175" t="s">
        <v>3154</v>
      </c>
    </row>
    <row r="3065" spans="2:3" x14ac:dyDescent="0.3">
      <c r="B3065" s="179">
        <v>89454</v>
      </c>
      <c r="C3065" s="175" t="s">
        <v>3155</v>
      </c>
    </row>
    <row r="3066" spans="2:3" x14ac:dyDescent="0.3">
      <c r="B3066" s="179">
        <v>89752</v>
      </c>
      <c r="C3066" s="175" t="s">
        <v>3156</v>
      </c>
    </row>
    <row r="3067" spans="2:3" x14ac:dyDescent="0.3">
      <c r="B3067" s="179">
        <v>89994</v>
      </c>
      <c r="C3067" s="175" t="s">
        <v>3157</v>
      </c>
    </row>
    <row r="3068" spans="2:3" x14ac:dyDescent="0.3">
      <c r="B3068" s="179">
        <v>100616</v>
      </c>
      <c r="C3068" s="175" t="s">
        <v>3158</v>
      </c>
    </row>
    <row r="3069" spans="2:3" x14ac:dyDescent="0.3">
      <c r="B3069" s="179">
        <v>100851</v>
      </c>
      <c r="C3069" s="175" t="s">
        <v>3159</v>
      </c>
    </row>
    <row r="3070" spans="2:3" x14ac:dyDescent="0.3">
      <c r="B3070" s="179">
        <v>101265</v>
      </c>
      <c r="C3070" s="175" t="s">
        <v>3160</v>
      </c>
    </row>
    <row r="3071" spans="2:3" x14ac:dyDescent="0.3">
      <c r="B3071" s="179">
        <v>1388</v>
      </c>
      <c r="C3071" s="175" t="s">
        <v>3161</v>
      </c>
    </row>
    <row r="3072" spans="2:3" x14ac:dyDescent="0.3">
      <c r="B3072" s="179">
        <v>1409</v>
      </c>
      <c r="C3072" s="175" t="s">
        <v>3162</v>
      </c>
    </row>
    <row r="3073" spans="2:3" x14ac:dyDescent="0.3">
      <c r="B3073" s="179">
        <v>1725</v>
      </c>
      <c r="C3073" s="175" t="s">
        <v>3163</v>
      </c>
    </row>
    <row r="3074" spans="2:3" x14ac:dyDescent="0.3">
      <c r="B3074" s="179">
        <v>2717</v>
      </c>
      <c r="C3074" s="175" t="s">
        <v>3164</v>
      </c>
    </row>
    <row r="3075" spans="2:3" x14ac:dyDescent="0.3">
      <c r="B3075" s="179">
        <v>4625</v>
      </c>
      <c r="C3075" s="175" t="s">
        <v>3165</v>
      </c>
    </row>
    <row r="3076" spans="2:3" x14ac:dyDescent="0.3">
      <c r="B3076" s="179">
        <v>6384</v>
      </c>
      <c r="C3076" s="175" t="s">
        <v>3166</v>
      </c>
    </row>
    <row r="3077" spans="2:3" x14ac:dyDescent="0.3">
      <c r="B3077" s="179">
        <v>10320</v>
      </c>
      <c r="C3077" s="175" t="s">
        <v>3167</v>
      </c>
    </row>
    <row r="3078" spans="2:3" x14ac:dyDescent="0.3">
      <c r="B3078" s="179">
        <v>90423</v>
      </c>
      <c r="C3078" s="175" t="s">
        <v>3168</v>
      </c>
    </row>
    <row r="3079" spans="2:3" x14ac:dyDescent="0.3">
      <c r="B3079" s="179">
        <v>101111</v>
      </c>
      <c r="C3079" s="175" t="s">
        <v>3169</v>
      </c>
    </row>
    <row r="3080" spans="2:3" x14ac:dyDescent="0.3">
      <c r="B3080" s="179">
        <v>101573</v>
      </c>
      <c r="C3080" s="175" t="s">
        <v>3170</v>
      </c>
    </row>
    <row r="3081" spans="2:3" x14ac:dyDescent="0.3">
      <c r="B3081" s="179">
        <v>86536</v>
      </c>
      <c r="C3081" s="175" t="s">
        <v>3171</v>
      </c>
    </row>
    <row r="3082" spans="2:3" x14ac:dyDescent="0.3">
      <c r="B3082" s="179">
        <v>86559</v>
      </c>
      <c r="C3082" s="175" t="s">
        <v>3172</v>
      </c>
    </row>
    <row r="3083" spans="2:3" x14ac:dyDescent="0.3">
      <c r="B3083" s="179">
        <v>87697</v>
      </c>
      <c r="C3083" s="175" t="s">
        <v>3173</v>
      </c>
    </row>
    <row r="3084" spans="2:3" x14ac:dyDescent="0.3">
      <c r="B3084" s="179">
        <v>87825</v>
      </c>
      <c r="C3084" s="175" t="s">
        <v>3174</v>
      </c>
    </row>
    <row r="3085" spans="2:3" x14ac:dyDescent="0.3">
      <c r="B3085" s="179">
        <v>87826</v>
      </c>
      <c r="C3085" s="175" t="s">
        <v>3175</v>
      </c>
    </row>
    <row r="3086" spans="2:3" x14ac:dyDescent="0.3">
      <c r="B3086" s="179">
        <v>87948</v>
      </c>
      <c r="C3086" s="175" t="s">
        <v>3176</v>
      </c>
    </row>
    <row r="3087" spans="2:3" x14ac:dyDescent="0.3">
      <c r="B3087" s="179">
        <v>88343</v>
      </c>
      <c r="C3087" s="175" t="s">
        <v>3177</v>
      </c>
    </row>
    <row r="3088" spans="2:3" x14ac:dyDescent="0.3">
      <c r="B3088" s="179">
        <v>88975</v>
      </c>
      <c r="C3088" s="175" t="s">
        <v>3178</v>
      </c>
    </row>
    <row r="3089" spans="2:3" x14ac:dyDescent="0.3">
      <c r="B3089" s="179">
        <v>89439</v>
      </c>
      <c r="C3089" s="175" t="s">
        <v>3179</v>
      </c>
    </row>
    <row r="3090" spans="2:3" x14ac:dyDescent="0.3">
      <c r="B3090" s="179">
        <v>101011</v>
      </c>
      <c r="C3090" s="175" t="s">
        <v>3180</v>
      </c>
    </row>
    <row r="3091" spans="2:3" x14ac:dyDescent="0.3">
      <c r="B3091" s="179">
        <v>2213</v>
      </c>
      <c r="C3091" s="175" t="s">
        <v>3181</v>
      </c>
    </row>
    <row r="3092" spans="2:3" x14ac:dyDescent="0.3">
      <c r="B3092" s="179">
        <v>2237</v>
      </c>
      <c r="C3092" s="175" t="s">
        <v>3182</v>
      </c>
    </row>
    <row r="3093" spans="2:3" x14ac:dyDescent="0.3">
      <c r="B3093" s="179">
        <v>2815</v>
      </c>
      <c r="C3093" s="175" t="s">
        <v>3183</v>
      </c>
    </row>
    <row r="3094" spans="2:3" x14ac:dyDescent="0.3">
      <c r="B3094" s="179">
        <v>6193</v>
      </c>
      <c r="C3094" s="175" t="s">
        <v>3184</v>
      </c>
    </row>
    <row r="3095" spans="2:3" x14ac:dyDescent="0.3">
      <c r="B3095" s="179">
        <v>7650</v>
      </c>
      <c r="C3095" s="175" t="s">
        <v>3185</v>
      </c>
    </row>
    <row r="3096" spans="2:3" x14ac:dyDescent="0.3">
      <c r="B3096" s="179">
        <v>10524</v>
      </c>
      <c r="C3096" s="175" t="s">
        <v>3186</v>
      </c>
    </row>
    <row r="3097" spans="2:3" x14ac:dyDescent="0.3">
      <c r="B3097" s="179">
        <v>31152</v>
      </c>
      <c r="C3097" s="175" t="s">
        <v>3187</v>
      </c>
    </row>
    <row r="3098" spans="2:3" x14ac:dyDescent="0.3">
      <c r="B3098" s="179">
        <v>73573</v>
      </c>
      <c r="C3098" s="175" t="s">
        <v>3188</v>
      </c>
    </row>
    <row r="3099" spans="2:3" x14ac:dyDescent="0.3">
      <c r="B3099" s="179">
        <v>90438</v>
      </c>
      <c r="C3099" s="175" t="s">
        <v>3189</v>
      </c>
    </row>
    <row r="3100" spans="2:3" x14ac:dyDescent="0.3">
      <c r="B3100" s="179">
        <v>90974</v>
      </c>
      <c r="C3100" s="175" t="s">
        <v>3190</v>
      </c>
    </row>
    <row r="3101" spans="2:3" x14ac:dyDescent="0.3">
      <c r="B3101" s="179">
        <v>100749</v>
      </c>
      <c r="C3101" s="175" t="s">
        <v>3191</v>
      </c>
    </row>
    <row r="3102" spans="2:3" x14ac:dyDescent="0.3">
      <c r="B3102" s="179">
        <v>101292</v>
      </c>
      <c r="C3102" s="175" t="s">
        <v>3192</v>
      </c>
    </row>
    <row r="3103" spans="2:3" x14ac:dyDescent="0.3">
      <c r="B3103" s="179">
        <v>89042</v>
      </c>
      <c r="C3103" s="175" t="s">
        <v>3193</v>
      </c>
    </row>
    <row r="3104" spans="2:3" x14ac:dyDescent="0.3">
      <c r="B3104" s="179">
        <v>89902</v>
      </c>
      <c r="C3104" s="175" t="s">
        <v>3194</v>
      </c>
    </row>
    <row r="3105" spans="2:3" x14ac:dyDescent="0.3">
      <c r="B3105" s="179">
        <v>90069</v>
      </c>
      <c r="C3105" s="175" t="s">
        <v>3195</v>
      </c>
    </row>
    <row r="3106" spans="2:3" x14ac:dyDescent="0.3">
      <c r="B3106" s="179">
        <v>90153</v>
      </c>
      <c r="C3106" s="175" t="s">
        <v>3196</v>
      </c>
    </row>
    <row r="3107" spans="2:3" x14ac:dyDescent="0.3">
      <c r="B3107" s="179">
        <v>90601</v>
      </c>
      <c r="C3107" s="175" t="s">
        <v>3197</v>
      </c>
    </row>
    <row r="3108" spans="2:3" x14ac:dyDescent="0.3">
      <c r="B3108" s="179">
        <v>91145</v>
      </c>
      <c r="C3108" s="175" t="s">
        <v>3198</v>
      </c>
    </row>
    <row r="3109" spans="2:3" x14ac:dyDescent="0.3">
      <c r="B3109" s="179">
        <v>101429</v>
      </c>
      <c r="C3109" s="175" t="s">
        <v>3199</v>
      </c>
    </row>
    <row r="3110" spans="2:3" x14ac:dyDescent="0.3">
      <c r="B3110" s="179">
        <v>1393</v>
      </c>
      <c r="C3110" s="175" t="s">
        <v>3200</v>
      </c>
    </row>
    <row r="3111" spans="2:3" x14ac:dyDescent="0.3">
      <c r="B3111" s="179">
        <v>1731</v>
      </c>
      <c r="C3111" s="175" t="s">
        <v>3201</v>
      </c>
    </row>
    <row r="3112" spans="2:3" x14ac:dyDescent="0.3">
      <c r="B3112" s="179">
        <v>1924</v>
      </c>
      <c r="C3112" s="175" t="s">
        <v>1705</v>
      </c>
    </row>
    <row r="3113" spans="2:3" x14ac:dyDescent="0.3">
      <c r="B3113" s="179">
        <v>2012</v>
      </c>
      <c r="C3113" s="175" t="s">
        <v>3202</v>
      </c>
    </row>
    <row r="3114" spans="2:3" x14ac:dyDescent="0.3">
      <c r="B3114" s="179">
        <v>2028</v>
      </c>
      <c r="C3114" s="175" t="s">
        <v>3203</v>
      </c>
    </row>
    <row r="3115" spans="2:3" x14ac:dyDescent="0.3">
      <c r="B3115" s="179">
        <v>2194</v>
      </c>
      <c r="C3115" s="175" t="s">
        <v>3204</v>
      </c>
    </row>
    <row r="3116" spans="2:3" x14ac:dyDescent="0.3">
      <c r="B3116" s="179">
        <v>3829</v>
      </c>
      <c r="C3116" s="175" t="s">
        <v>3205</v>
      </c>
    </row>
    <row r="3117" spans="2:3" x14ac:dyDescent="0.3">
      <c r="B3117" s="179">
        <v>18499</v>
      </c>
      <c r="C3117" s="175" t="s">
        <v>3206</v>
      </c>
    </row>
    <row r="3118" spans="2:3" x14ac:dyDescent="0.3">
      <c r="B3118" s="179">
        <v>40487</v>
      </c>
      <c r="C3118" s="175" t="s">
        <v>3207</v>
      </c>
    </row>
    <row r="3119" spans="2:3" x14ac:dyDescent="0.3">
      <c r="B3119" s="179">
        <v>90439</v>
      </c>
      <c r="C3119" s="175" t="s">
        <v>3208</v>
      </c>
    </row>
    <row r="3120" spans="2:3" x14ac:dyDescent="0.3">
      <c r="B3120" s="179">
        <v>91135</v>
      </c>
      <c r="C3120" s="175" t="s">
        <v>3209</v>
      </c>
    </row>
    <row r="3121" spans="2:3" x14ac:dyDescent="0.3">
      <c r="B3121" s="179">
        <v>85756</v>
      </c>
      <c r="C3121" s="175" t="s">
        <v>3210</v>
      </c>
    </row>
    <row r="3122" spans="2:3" x14ac:dyDescent="0.3">
      <c r="B3122" s="179">
        <v>86103</v>
      </c>
      <c r="C3122" s="175" t="s">
        <v>3211</v>
      </c>
    </row>
    <row r="3123" spans="2:3" x14ac:dyDescent="0.3">
      <c r="B3123" s="179">
        <v>87559</v>
      </c>
      <c r="C3123" s="175" t="s">
        <v>3212</v>
      </c>
    </row>
    <row r="3124" spans="2:3" x14ac:dyDescent="0.3">
      <c r="B3124" s="179">
        <v>88847</v>
      </c>
      <c r="C3124" s="175" t="s">
        <v>3213</v>
      </c>
    </row>
    <row r="3125" spans="2:3" x14ac:dyDescent="0.3">
      <c r="B3125" s="179">
        <v>89016</v>
      </c>
      <c r="C3125" s="175" t="s">
        <v>3214</v>
      </c>
    </row>
    <row r="3126" spans="2:3" x14ac:dyDescent="0.3">
      <c r="B3126" s="179">
        <v>89040</v>
      </c>
      <c r="C3126" s="175" t="s">
        <v>3215</v>
      </c>
    </row>
    <row r="3127" spans="2:3" x14ac:dyDescent="0.3">
      <c r="B3127" s="179">
        <v>89481</v>
      </c>
      <c r="C3127" s="175" t="s">
        <v>3216</v>
      </c>
    </row>
    <row r="3128" spans="2:3" x14ac:dyDescent="0.3">
      <c r="B3128" s="179">
        <v>90001</v>
      </c>
      <c r="C3128" s="175" t="s">
        <v>3217</v>
      </c>
    </row>
    <row r="3129" spans="2:3" x14ac:dyDescent="0.3">
      <c r="B3129" s="179">
        <v>90002</v>
      </c>
      <c r="C3129" s="175" t="s">
        <v>3218</v>
      </c>
    </row>
    <row r="3130" spans="2:3" x14ac:dyDescent="0.3">
      <c r="B3130" s="179">
        <v>90003</v>
      </c>
      <c r="C3130" s="175" t="s">
        <v>3219</v>
      </c>
    </row>
    <row r="3131" spans="2:3" x14ac:dyDescent="0.3">
      <c r="B3131" s="179">
        <v>90244</v>
      </c>
      <c r="C3131" s="175" t="s">
        <v>3220</v>
      </c>
    </row>
    <row r="3132" spans="2:3" x14ac:dyDescent="0.3">
      <c r="B3132" s="179">
        <v>90459</v>
      </c>
      <c r="C3132" s="175" t="s">
        <v>3221</v>
      </c>
    </row>
    <row r="3133" spans="2:3" x14ac:dyDescent="0.3">
      <c r="B3133" s="179">
        <v>2013</v>
      </c>
      <c r="C3133" s="175" t="s">
        <v>3222</v>
      </c>
    </row>
    <row r="3134" spans="2:3" x14ac:dyDescent="0.3">
      <c r="B3134" s="179">
        <v>2372</v>
      </c>
      <c r="C3134" s="175" t="s">
        <v>3223</v>
      </c>
    </row>
    <row r="3135" spans="2:3" x14ac:dyDescent="0.3">
      <c r="B3135" s="179">
        <v>2448</v>
      </c>
      <c r="C3135" s="175" t="s">
        <v>3224</v>
      </c>
    </row>
    <row r="3136" spans="2:3" x14ac:dyDescent="0.3">
      <c r="B3136" s="179">
        <v>2716</v>
      </c>
      <c r="C3136" s="175" t="s">
        <v>3225</v>
      </c>
    </row>
    <row r="3137" spans="2:3" x14ac:dyDescent="0.3">
      <c r="B3137" s="179">
        <v>2936</v>
      </c>
      <c r="C3137" s="175" t="s">
        <v>3226</v>
      </c>
    </row>
    <row r="3138" spans="2:3" x14ac:dyDescent="0.3">
      <c r="B3138" s="179">
        <v>3062</v>
      </c>
      <c r="C3138" s="175" t="s">
        <v>3227</v>
      </c>
    </row>
    <row r="3139" spans="2:3" x14ac:dyDescent="0.3">
      <c r="B3139" s="179">
        <v>3909</v>
      </c>
      <c r="C3139" s="175" t="s">
        <v>3228</v>
      </c>
    </row>
    <row r="3140" spans="2:3" x14ac:dyDescent="0.3">
      <c r="B3140" s="179">
        <v>4147</v>
      </c>
      <c r="C3140" s="175" t="s">
        <v>3229</v>
      </c>
    </row>
    <row r="3141" spans="2:3" x14ac:dyDescent="0.3">
      <c r="B3141" s="179">
        <v>31086</v>
      </c>
      <c r="C3141" s="175" t="s">
        <v>3230</v>
      </c>
    </row>
    <row r="3142" spans="2:3" x14ac:dyDescent="0.3">
      <c r="B3142" s="179">
        <v>34653</v>
      </c>
      <c r="C3142" s="175" t="s">
        <v>3231</v>
      </c>
    </row>
    <row r="3143" spans="2:3" x14ac:dyDescent="0.3">
      <c r="B3143" s="179">
        <v>53367</v>
      </c>
      <c r="C3143" s="175" t="s">
        <v>3232</v>
      </c>
    </row>
    <row r="3144" spans="2:3" x14ac:dyDescent="0.3">
      <c r="B3144" s="179">
        <v>91085</v>
      </c>
      <c r="C3144" s="175" t="s">
        <v>3233</v>
      </c>
    </row>
    <row r="3145" spans="2:3" x14ac:dyDescent="0.3">
      <c r="B3145" s="179">
        <v>91246</v>
      </c>
      <c r="C3145" s="175" t="s">
        <v>3234</v>
      </c>
    </row>
    <row r="3146" spans="2:3" x14ac:dyDescent="0.3">
      <c r="B3146" s="179">
        <v>91247</v>
      </c>
      <c r="C3146" s="175" t="s">
        <v>3235</v>
      </c>
    </row>
    <row r="3147" spans="2:3" x14ac:dyDescent="0.3">
      <c r="B3147" s="179">
        <v>100658</v>
      </c>
      <c r="C3147" s="175" t="s">
        <v>3236</v>
      </c>
    </row>
    <row r="3148" spans="2:3" x14ac:dyDescent="0.3">
      <c r="B3148" s="179">
        <v>101105</v>
      </c>
      <c r="C3148" s="175" t="s">
        <v>3237</v>
      </c>
    </row>
    <row r="3149" spans="2:3" x14ac:dyDescent="0.3">
      <c r="B3149" s="179">
        <v>101115</v>
      </c>
      <c r="C3149" s="175" t="s">
        <v>3238</v>
      </c>
    </row>
    <row r="3150" spans="2:3" x14ac:dyDescent="0.3">
      <c r="B3150" s="179">
        <v>101417</v>
      </c>
      <c r="C3150" s="175" t="s">
        <v>3239</v>
      </c>
    </row>
    <row r="3151" spans="2:3" x14ac:dyDescent="0.3">
      <c r="B3151" s="179">
        <v>101581</v>
      </c>
      <c r="C3151" s="175" t="s">
        <v>3240</v>
      </c>
    </row>
    <row r="3152" spans="2:3" x14ac:dyDescent="0.3">
      <c r="B3152" s="179">
        <v>3301</v>
      </c>
      <c r="C3152" s="175" t="s">
        <v>3241</v>
      </c>
    </row>
    <row r="3153" spans="2:3" x14ac:dyDescent="0.3">
      <c r="B3153" s="179">
        <v>89444</v>
      </c>
      <c r="C3153" s="175" t="s">
        <v>3242</v>
      </c>
    </row>
    <row r="3154" spans="2:3" x14ac:dyDescent="0.3">
      <c r="B3154" s="179">
        <v>100776</v>
      </c>
      <c r="C3154" s="175" t="s">
        <v>3243</v>
      </c>
    </row>
    <row r="3155" spans="2:3" x14ac:dyDescent="0.3">
      <c r="B3155" s="179">
        <v>101433</v>
      </c>
      <c r="C3155" s="175" t="s">
        <v>3244</v>
      </c>
    </row>
    <row r="3156" spans="2:3" x14ac:dyDescent="0.3">
      <c r="B3156" s="179">
        <v>4059</v>
      </c>
      <c r="C3156" s="175" t="s">
        <v>3245</v>
      </c>
    </row>
    <row r="3157" spans="2:3" x14ac:dyDescent="0.3">
      <c r="B3157" s="179">
        <v>4612</v>
      </c>
      <c r="C3157" s="175" t="s">
        <v>3246</v>
      </c>
    </row>
    <row r="3158" spans="2:3" x14ac:dyDescent="0.3">
      <c r="B3158" s="179">
        <v>5227</v>
      </c>
      <c r="C3158" s="175" t="s">
        <v>3247</v>
      </c>
    </row>
    <row r="3159" spans="2:3" x14ac:dyDescent="0.3">
      <c r="B3159" s="179">
        <v>6460</v>
      </c>
      <c r="C3159" s="175" t="s">
        <v>3248</v>
      </c>
    </row>
    <row r="3160" spans="2:3" x14ac:dyDescent="0.3">
      <c r="B3160" s="179">
        <v>8880</v>
      </c>
      <c r="C3160" s="175" t="s">
        <v>3249</v>
      </c>
    </row>
    <row r="3161" spans="2:3" x14ac:dyDescent="0.3">
      <c r="B3161" s="179">
        <v>11384</v>
      </c>
      <c r="C3161" s="175" t="s">
        <v>3250</v>
      </c>
    </row>
    <row r="3162" spans="2:3" x14ac:dyDescent="0.3">
      <c r="B3162" s="179">
        <v>24458</v>
      </c>
      <c r="C3162" s="175" t="s">
        <v>3251</v>
      </c>
    </row>
    <row r="3163" spans="2:3" x14ac:dyDescent="0.3">
      <c r="B3163" s="179">
        <v>71308</v>
      </c>
      <c r="C3163" s="175" t="s">
        <v>3252</v>
      </c>
    </row>
    <row r="3164" spans="2:3" x14ac:dyDescent="0.3">
      <c r="B3164" s="179">
        <v>85489</v>
      </c>
      <c r="C3164" s="175" t="s">
        <v>3253</v>
      </c>
    </row>
    <row r="3165" spans="2:3" x14ac:dyDescent="0.3">
      <c r="B3165" s="179">
        <v>89831</v>
      </c>
      <c r="C3165" s="175" t="s">
        <v>3254</v>
      </c>
    </row>
    <row r="3166" spans="2:3" x14ac:dyDescent="0.3">
      <c r="B3166" s="179">
        <v>101106</v>
      </c>
      <c r="C3166" s="175" t="s">
        <v>3255</v>
      </c>
    </row>
    <row r="3167" spans="2:3" x14ac:dyDescent="0.3">
      <c r="B3167" s="179">
        <v>101331</v>
      </c>
      <c r="C3167" s="175" t="s">
        <v>3256</v>
      </c>
    </row>
    <row r="3168" spans="2:3" x14ac:dyDescent="0.3">
      <c r="B3168" s="179">
        <v>101364</v>
      </c>
      <c r="C3168" s="175" t="s">
        <v>3257</v>
      </c>
    </row>
    <row r="3169" spans="2:3" x14ac:dyDescent="0.3">
      <c r="B3169" s="179">
        <v>101513</v>
      </c>
      <c r="C3169" s="175" t="s">
        <v>3258</v>
      </c>
    </row>
    <row r="3170" spans="2:3" x14ac:dyDescent="0.3">
      <c r="B3170" s="179">
        <v>3524</v>
      </c>
      <c r="C3170" s="175" t="s">
        <v>3259</v>
      </c>
    </row>
    <row r="3171" spans="2:3" x14ac:dyDescent="0.3">
      <c r="B3171" s="179">
        <v>82157</v>
      </c>
      <c r="C3171" s="175" t="s">
        <v>3260</v>
      </c>
    </row>
    <row r="3172" spans="2:3" x14ac:dyDescent="0.3">
      <c r="B3172" s="179">
        <v>78745</v>
      </c>
      <c r="C3172" s="175" t="s">
        <v>3261</v>
      </c>
    </row>
    <row r="3173" spans="2:3" x14ac:dyDescent="0.3">
      <c r="B3173" s="179">
        <v>85835</v>
      </c>
      <c r="C3173" s="175" t="s">
        <v>3262</v>
      </c>
    </row>
    <row r="3174" spans="2:3" x14ac:dyDescent="0.3">
      <c r="B3174" s="179">
        <v>86515</v>
      </c>
      <c r="C3174" s="175" t="s">
        <v>3263</v>
      </c>
    </row>
    <row r="3175" spans="2:3" x14ac:dyDescent="0.3">
      <c r="B3175" s="179">
        <v>89245</v>
      </c>
      <c r="C3175" s="175" t="s">
        <v>3264</v>
      </c>
    </row>
    <row r="3176" spans="2:3" x14ac:dyDescent="0.3">
      <c r="B3176" s="179">
        <v>89306</v>
      </c>
      <c r="C3176" s="175" t="s">
        <v>3265</v>
      </c>
    </row>
    <row r="3177" spans="2:3" x14ac:dyDescent="0.3">
      <c r="B3177" s="179">
        <v>90477</v>
      </c>
      <c r="C3177" s="175" t="s">
        <v>3266</v>
      </c>
    </row>
    <row r="3178" spans="2:3" x14ac:dyDescent="0.3">
      <c r="B3178" s="179">
        <v>90608</v>
      </c>
      <c r="C3178" s="175" t="s">
        <v>3267</v>
      </c>
    </row>
    <row r="3179" spans="2:3" x14ac:dyDescent="0.3">
      <c r="B3179" s="179">
        <v>91023</v>
      </c>
      <c r="C3179" s="175" t="s">
        <v>3268</v>
      </c>
    </row>
    <row r="3180" spans="2:3" x14ac:dyDescent="0.3">
      <c r="B3180" s="179">
        <v>101029</v>
      </c>
      <c r="C3180" s="175" t="s">
        <v>3269</v>
      </c>
    </row>
    <row r="3181" spans="2:3" x14ac:dyDescent="0.3">
      <c r="B3181" s="179">
        <v>2404</v>
      </c>
      <c r="C3181" s="175" t="s">
        <v>3270</v>
      </c>
    </row>
    <row r="3182" spans="2:3" x14ac:dyDescent="0.3">
      <c r="B3182" s="179">
        <v>3242</v>
      </c>
      <c r="C3182" s="175" t="s">
        <v>3271</v>
      </c>
    </row>
    <row r="3183" spans="2:3" x14ac:dyDescent="0.3">
      <c r="B3183" s="179">
        <v>4766</v>
      </c>
      <c r="C3183" s="175" t="s">
        <v>3272</v>
      </c>
    </row>
    <row r="3184" spans="2:3" x14ac:dyDescent="0.3">
      <c r="B3184" s="179">
        <v>5112</v>
      </c>
      <c r="C3184" s="175" t="s">
        <v>3273</v>
      </c>
    </row>
    <row r="3185" spans="2:3" x14ac:dyDescent="0.3">
      <c r="B3185" s="179">
        <v>5171</v>
      </c>
      <c r="C3185" s="175" t="s">
        <v>3274</v>
      </c>
    </row>
    <row r="3186" spans="2:3" x14ac:dyDescent="0.3">
      <c r="B3186" s="179">
        <v>5801</v>
      </c>
      <c r="C3186" s="175" t="s">
        <v>3275</v>
      </c>
    </row>
    <row r="3187" spans="2:3" x14ac:dyDescent="0.3">
      <c r="B3187" s="179">
        <v>6182</v>
      </c>
      <c r="C3187" s="175" t="s">
        <v>3276</v>
      </c>
    </row>
    <row r="3188" spans="2:3" x14ac:dyDescent="0.3">
      <c r="B3188" s="179">
        <v>41165</v>
      </c>
      <c r="C3188" s="175" t="s">
        <v>3277</v>
      </c>
    </row>
    <row r="3189" spans="2:3" x14ac:dyDescent="0.3">
      <c r="B3189" s="179">
        <v>50294</v>
      </c>
      <c r="C3189" s="175" t="s">
        <v>3278</v>
      </c>
    </row>
    <row r="3190" spans="2:3" x14ac:dyDescent="0.3">
      <c r="B3190" s="179">
        <v>50397</v>
      </c>
      <c r="C3190" s="175" t="s">
        <v>3279</v>
      </c>
    </row>
    <row r="3191" spans="2:3" x14ac:dyDescent="0.3">
      <c r="B3191" s="179">
        <v>73832</v>
      </c>
      <c r="C3191" s="175" t="s">
        <v>3280</v>
      </c>
    </row>
    <row r="3192" spans="2:3" x14ac:dyDescent="0.3">
      <c r="B3192" s="179">
        <v>78343</v>
      </c>
      <c r="C3192" s="175" t="s">
        <v>3281</v>
      </c>
    </row>
    <row r="3193" spans="2:3" x14ac:dyDescent="0.3">
      <c r="B3193" s="179">
        <v>88255</v>
      </c>
      <c r="C3193" s="175" t="s">
        <v>3282</v>
      </c>
    </row>
    <row r="3194" spans="2:3" x14ac:dyDescent="0.3">
      <c r="B3194" s="179">
        <v>90363</v>
      </c>
      <c r="C3194" s="175" t="s">
        <v>3283</v>
      </c>
    </row>
    <row r="3195" spans="2:3" x14ac:dyDescent="0.3">
      <c r="B3195" s="179">
        <v>100667</v>
      </c>
      <c r="C3195" s="175" t="s">
        <v>3284</v>
      </c>
    </row>
    <row r="3196" spans="2:3" x14ac:dyDescent="0.3">
      <c r="B3196" s="179">
        <v>4080</v>
      </c>
      <c r="C3196" s="175" t="s">
        <v>3285</v>
      </c>
    </row>
    <row r="3197" spans="2:3" x14ac:dyDescent="0.3">
      <c r="B3197" s="179">
        <v>4687</v>
      </c>
      <c r="C3197" s="175" t="s">
        <v>3286</v>
      </c>
    </row>
    <row r="3198" spans="2:3" x14ac:dyDescent="0.3">
      <c r="B3198" s="179">
        <v>10143</v>
      </c>
      <c r="C3198" s="175" t="s">
        <v>3287</v>
      </c>
    </row>
    <row r="3199" spans="2:3" x14ac:dyDescent="0.3">
      <c r="B3199" s="179">
        <v>31771</v>
      </c>
      <c r="C3199" s="175" t="s">
        <v>3288</v>
      </c>
    </row>
    <row r="3200" spans="2:3" x14ac:dyDescent="0.3">
      <c r="B3200" s="179">
        <v>88256</v>
      </c>
      <c r="C3200" s="175" t="s">
        <v>3289</v>
      </c>
    </row>
    <row r="3201" spans="2:3" x14ac:dyDescent="0.3">
      <c r="B3201" s="179">
        <v>101040</v>
      </c>
      <c r="C3201" s="175" t="s">
        <v>3290</v>
      </c>
    </row>
    <row r="3202" spans="2:3" x14ac:dyDescent="0.3">
      <c r="B3202" s="179">
        <v>101043</v>
      </c>
      <c r="C3202" s="175" t="s">
        <v>3291</v>
      </c>
    </row>
    <row r="3203" spans="2:3" x14ac:dyDescent="0.3">
      <c r="B3203" s="179">
        <v>101329</v>
      </c>
      <c r="C3203" s="175" t="s">
        <v>3292</v>
      </c>
    </row>
    <row r="3204" spans="2:3" x14ac:dyDescent="0.3">
      <c r="B3204" s="179">
        <v>2551</v>
      </c>
      <c r="C3204" s="175" t="s">
        <v>3293</v>
      </c>
    </row>
    <row r="3205" spans="2:3" x14ac:dyDescent="0.3">
      <c r="B3205" s="179">
        <v>2981</v>
      </c>
      <c r="C3205" s="175" t="s">
        <v>3294</v>
      </c>
    </row>
    <row r="3206" spans="2:3" x14ac:dyDescent="0.3">
      <c r="B3206" s="179">
        <v>4247</v>
      </c>
      <c r="C3206" s="175" t="s">
        <v>3295</v>
      </c>
    </row>
    <row r="3207" spans="2:3" x14ac:dyDescent="0.3">
      <c r="B3207" s="179">
        <v>4381</v>
      </c>
      <c r="C3207" s="175" t="s">
        <v>3296</v>
      </c>
    </row>
    <row r="3208" spans="2:3" x14ac:dyDescent="0.3">
      <c r="B3208" s="179">
        <v>5015</v>
      </c>
      <c r="C3208" s="175" t="s">
        <v>3297</v>
      </c>
    </row>
    <row r="3209" spans="2:3" x14ac:dyDescent="0.3">
      <c r="B3209" s="179">
        <v>5025</v>
      </c>
      <c r="C3209" s="175" t="s">
        <v>3298</v>
      </c>
    </row>
    <row r="3210" spans="2:3" x14ac:dyDescent="0.3">
      <c r="B3210" s="179">
        <v>8443</v>
      </c>
      <c r="C3210" s="175" t="s">
        <v>3299</v>
      </c>
    </row>
    <row r="3211" spans="2:3" x14ac:dyDescent="0.3">
      <c r="B3211" s="179">
        <v>6166</v>
      </c>
      <c r="C3211" s="175" t="s">
        <v>3300</v>
      </c>
    </row>
    <row r="3212" spans="2:3" x14ac:dyDescent="0.3">
      <c r="B3212" s="179">
        <v>1517</v>
      </c>
      <c r="C3212" s="175" t="s">
        <v>3301</v>
      </c>
    </row>
    <row r="3213" spans="2:3" x14ac:dyDescent="0.3">
      <c r="B3213" s="179">
        <v>87598</v>
      </c>
      <c r="C3213" s="175" t="s">
        <v>3302</v>
      </c>
    </row>
    <row r="3214" spans="2:3" x14ac:dyDescent="0.3">
      <c r="B3214" s="179">
        <v>88511</v>
      </c>
      <c r="C3214" s="175" t="s">
        <v>3303</v>
      </c>
    </row>
    <row r="3215" spans="2:3" x14ac:dyDescent="0.3">
      <c r="B3215" s="179">
        <v>88545</v>
      </c>
      <c r="C3215" s="175" t="s">
        <v>3304</v>
      </c>
    </row>
    <row r="3216" spans="2:3" x14ac:dyDescent="0.3">
      <c r="B3216" s="179">
        <v>91221</v>
      </c>
      <c r="C3216" s="175" t="s">
        <v>3305</v>
      </c>
    </row>
    <row r="3217" spans="2:3" x14ac:dyDescent="0.3">
      <c r="B3217" s="179">
        <v>91228</v>
      </c>
      <c r="C3217" s="175" t="s">
        <v>3306</v>
      </c>
    </row>
    <row r="3218" spans="2:3" x14ac:dyDescent="0.3">
      <c r="B3218" s="179">
        <v>91232</v>
      </c>
      <c r="C3218" s="175" t="s">
        <v>3307</v>
      </c>
    </row>
    <row r="3219" spans="2:3" x14ac:dyDescent="0.3">
      <c r="B3219" s="179">
        <v>87364</v>
      </c>
      <c r="C3219" s="175" t="s">
        <v>3308</v>
      </c>
    </row>
    <row r="3220" spans="2:3" x14ac:dyDescent="0.3">
      <c r="B3220" s="179">
        <v>89905</v>
      </c>
      <c r="C3220" s="175" t="s">
        <v>3309</v>
      </c>
    </row>
    <row r="3221" spans="2:3" x14ac:dyDescent="0.3">
      <c r="B3221" s="179">
        <v>89918</v>
      </c>
      <c r="C3221" s="175" t="s">
        <v>3310</v>
      </c>
    </row>
    <row r="3222" spans="2:3" x14ac:dyDescent="0.3">
      <c r="B3222" s="179">
        <v>91229</v>
      </c>
      <c r="C3222" s="175" t="s">
        <v>3311</v>
      </c>
    </row>
    <row r="3223" spans="2:3" x14ac:dyDescent="0.3">
      <c r="B3223" s="179">
        <v>91230</v>
      </c>
      <c r="C3223" s="175" t="s">
        <v>3312</v>
      </c>
    </row>
    <row r="3224" spans="2:3" x14ac:dyDescent="0.3">
      <c r="B3224" s="179">
        <v>91231</v>
      </c>
      <c r="C3224" s="175" t="s">
        <v>3313</v>
      </c>
    </row>
    <row r="3225" spans="2:3" x14ac:dyDescent="0.3">
      <c r="B3225" s="179">
        <v>101275</v>
      </c>
      <c r="C3225" s="175" t="s">
        <v>3314</v>
      </c>
    </row>
    <row r="3226" spans="2:3" x14ac:dyDescent="0.3">
      <c r="B3226" s="179">
        <v>101334</v>
      </c>
      <c r="C3226" s="175" t="s">
        <v>3315</v>
      </c>
    </row>
    <row r="3227" spans="2:3" x14ac:dyDescent="0.3">
      <c r="B3227" s="179">
        <v>7616</v>
      </c>
      <c r="C3227" s="175" t="s">
        <v>3316</v>
      </c>
    </row>
    <row r="3228" spans="2:3" x14ac:dyDescent="0.3">
      <c r="B3228" s="179">
        <v>19556</v>
      </c>
      <c r="C3228" s="175" t="s">
        <v>3317</v>
      </c>
    </row>
    <row r="3229" spans="2:3" x14ac:dyDescent="0.3">
      <c r="B3229" s="179">
        <v>28339</v>
      </c>
      <c r="C3229" s="175" t="s">
        <v>3318</v>
      </c>
    </row>
    <row r="3230" spans="2:3" x14ac:dyDescent="0.3">
      <c r="B3230" s="179">
        <v>76753</v>
      </c>
      <c r="C3230" s="175" t="s">
        <v>3319</v>
      </c>
    </row>
    <row r="3231" spans="2:3" x14ac:dyDescent="0.3">
      <c r="B3231" s="179">
        <v>87475</v>
      </c>
      <c r="C3231" s="175" t="s">
        <v>3320</v>
      </c>
    </row>
    <row r="3232" spans="2:3" x14ac:dyDescent="0.3">
      <c r="B3232" s="179">
        <v>88654</v>
      </c>
      <c r="C3232" s="175" t="s">
        <v>3321</v>
      </c>
    </row>
    <row r="3233" spans="2:3" x14ac:dyDescent="0.3">
      <c r="B3233" s="179">
        <v>89514</v>
      </c>
      <c r="C3233" s="175" t="s">
        <v>3322</v>
      </c>
    </row>
    <row r="3234" spans="2:3" x14ac:dyDescent="0.3">
      <c r="B3234" s="179">
        <v>90155</v>
      </c>
      <c r="C3234" s="175" t="s">
        <v>3323</v>
      </c>
    </row>
    <row r="3235" spans="2:3" x14ac:dyDescent="0.3">
      <c r="B3235" s="179">
        <v>90186</v>
      </c>
      <c r="C3235" s="175" t="s">
        <v>3324</v>
      </c>
    </row>
    <row r="3236" spans="2:3" x14ac:dyDescent="0.3">
      <c r="B3236" s="179">
        <v>90345</v>
      </c>
      <c r="C3236" s="175" t="s">
        <v>3325</v>
      </c>
    </row>
    <row r="3237" spans="2:3" x14ac:dyDescent="0.3">
      <c r="B3237" s="179">
        <v>91222</v>
      </c>
      <c r="C3237" s="175" t="s">
        <v>3326</v>
      </c>
    </row>
    <row r="3238" spans="2:3" x14ac:dyDescent="0.3">
      <c r="B3238" s="179">
        <v>91223</v>
      </c>
      <c r="C3238" s="175" t="s">
        <v>3327</v>
      </c>
    </row>
    <row r="3239" spans="2:3" x14ac:dyDescent="0.3">
      <c r="B3239" s="179">
        <v>101359</v>
      </c>
      <c r="C3239" s="175" t="s">
        <v>3328</v>
      </c>
    </row>
    <row r="3240" spans="2:3" x14ac:dyDescent="0.3">
      <c r="B3240" s="179">
        <v>101394</v>
      </c>
      <c r="C3240" s="175" t="s">
        <v>3329</v>
      </c>
    </row>
    <row r="3241" spans="2:3" x14ac:dyDescent="0.3">
      <c r="B3241" s="179">
        <v>101501</v>
      </c>
      <c r="C3241" s="175" t="s">
        <v>3330</v>
      </c>
    </row>
    <row r="3242" spans="2:3" x14ac:dyDescent="0.3">
      <c r="B3242" s="179">
        <v>86472</v>
      </c>
      <c r="C3242" s="175" t="s">
        <v>3331</v>
      </c>
    </row>
    <row r="3243" spans="2:3" x14ac:dyDescent="0.3">
      <c r="B3243" s="179">
        <v>87612</v>
      </c>
      <c r="C3243" s="175" t="s">
        <v>3332</v>
      </c>
    </row>
    <row r="3244" spans="2:3" x14ac:dyDescent="0.3">
      <c r="B3244" s="179">
        <v>89297</v>
      </c>
      <c r="C3244" s="175" t="s">
        <v>3333</v>
      </c>
    </row>
    <row r="3245" spans="2:3" x14ac:dyDescent="0.3">
      <c r="B3245" s="179">
        <v>89539</v>
      </c>
      <c r="C3245" s="175" t="s">
        <v>3334</v>
      </c>
    </row>
    <row r="3246" spans="2:3" x14ac:dyDescent="0.3">
      <c r="B3246" s="179">
        <v>90262</v>
      </c>
      <c r="C3246" s="175" t="s">
        <v>3335</v>
      </c>
    </row>
    <row r="3247" spans="2:3" x14ac:dyDescent="0.3">
      <c r="B3247" s="179">
        <v>101248</v>
      </c>
      <c r="C3247" s="175" t="s">
        <v>3336</v>
      </c>
    </row>
    <row r="3248" spans="2:3" x14ac:dyDescent="0.3">
      <c r="B3248" s="179">
        <v>101249</v>
      </c>
      <c r="C3248" s="175" t="s">
        <v>3337</v>
      </c>
    </row>
    <row r="3249" spans="2:3" x14ac:dyDescent="0.3">
      <c r="B3249" s="179">
        <v>101251</v>
      </c>
      <c r="C3249" s="175" t="s">
        <v>3338</v>
      </c>
    </row>
    <row r="3250" spans="2:3" x14ac:dyDescent="0.3">
      <c r="B3250" s="179">
        <v>101260</v>
      </c>
      <c r="C3250" s="175" t="s">
        <v>3339</v>
      </c>
    </row>
    <row r="3251" spans="2:3" x14ac:dyDescent="0.3">
      <c r="B3251" s="179">
        <v>3345</v>
      </c>
      <c r="C3251" s="175" t="s">
        <v>3340</v>
      </c>
    </row>
    <row r="3252" spans="2:3" x14ac:dyDescent="0.3">
      <c r="B3252" s="179">
        <v>4575</v>
      </c>
      <c r="C3252" s="175" t="s">
        <v>3341</v>
      </c>
    </row>
    <row r="3253" spans="2:3" x14ac:dyDescent="0.3">
      <c r="B3253" s="179">
        <v>5085</v>
      </c>
      <c r="C3253" s="175" t="s">
        <v>3342</v>
      </c>
    </row>
    <row r="3254" spans="2:3" x14ac:dyDescent="0.3">
      <c r="B3254" s="179">
        <v>10252</v>
      </c>
      <c r="C3254" s="175" t="s">
        <v>3343</v>
      </c>
    </row>
    <row r="3255" spans="2:3" x14ac:dyDescent="0.3">
      <c r="B3255" s="179">
        <v>54746</v>
      </c>
      <c r="C3255" s="175" t="s">
        <v>3344</v>
      </c>
    </row>
    <row r="3256" spans="2:3" x14ac:dyDescent="0.3">
      <c r="B3256" s="179">
        <v>5973</v>
      </c>
      <c r="C3256" s="175" t="s">
        <v>3345</v>
      </c>
    </row>
    <row r="3257" spans="2:3" x14ac:dyDescent="0.3">
      <c r="B3257" s="179">
        <v>88308</v>
      </c>
      <c r="C3257" s="175" t="s">
        <v>3346</v>
      </c>
    </row>
    <row r="3258" spans="2:3" x14ac:dyDescent="0.3">
      <c r="B3258" s="179">
        <v>1323</v>
      </c>
      <c r="C3258" s="175" t="s">
        <v>3347</v>
      </c>
    </row>
    <row r="3259" spans="2:3" x14ac:dyDescent="0.3">
      <c r="B3259" s="179">
        <v>1554</v>
      </c>
      <c r="C3259" s="175" t="s">
        <v>3348</v>
      </c>
    </row>
    <row r="3260" spans="2:3" x14ac:dyDescent="0.3">
      <c r="B3260" s="179">
        <v>1555</v>
      </c>
      <c r="C3260" s="175" t="s">
        <v>561</v>
      </c>
    </row>
    <row r="3261" spans="2:3" x14ac:dyDescent="0.3">
      <c r="B3261" s="179">
        <v>2897</v>
      </c>
      <c r="C3261" s="175" t="s">
        <v>3349</v>
      </c>
    </row>
    <row r="3262" spans="2:3" x14ac:dyDescent="0.3">
      <c r="B3262" s="179">
        <v>3717</v>
      </c>
      <c r="C3262" s="175" t="s">
        <v>3350</v>
      </c>
    </row>
    <row r="3263" spans="2:3" x14ac:dyDescent="0.3">
      <c r="B3263" s="179">
        <v>3874</v>
      </c>
      <c r="C3263" s="175" t="s">
        <v>3351</v>
      </c>
    </row>
    <row r="3264" spans="2:3" x14ac:dyDescent="0.3">
      <c r="B3264" s="179">
        <v>3924</v>
      </c>
      <c r="C3264" s="175" t="s">
        <v>3352</v>
      </c>
    </row>
    <row r="3265" spans="2:3" x14ac:dyDescent="0.3">
      <c r="B3265" s="179">
        <v>3929</v>
      </c>
      <c r="C3265" s="175" t="s">
        <v>3353</v>
      </c>
    </row>
    <row r="3266" spans="2:3" x14ac:dyDescent="0.3">
      <c r="B3266" s="179">
        <v>4079</v>
      </c>
      <c r="C3266" s="175" t="s">
        <v>3354</v>
      </c>
    </row>
    <row r="3267" spans="2:3" x14ac:dyDescent="0.3">
      <c r="B3267" s="179">
        <v>4105</v>
      </c>
      <c r="C3267" s="175" t="s">
        <v>3355</v>
      </c>
    </row>
    <row r="3268" spans="2:3" x14ac:dyDescent="0.3">
      <c r="B3268" s="179">
        <v>4201</v>
      </c>
      <c r="C3268" s="175" t="s">
        <v>3356</v>
      </c>
    </row>
    <row r="3269" spans="2:3" x14ac:dyDescent="0.3">
      <c r="B3269" s="179">
        <v>4277</v>
      </c>
      <c r="C3269" s="175" t="s">
        <v>3357</v>
      </c>
    </row>
    <row r="3270" spans="2:3" x14ac:dyDescent="0.3">
      <c r="B3270" s="179">
        <v>4555</v>
      </c>
      <c r="C3270" s="175" t="s">
        <v>3358</v>
      </c>
    </row>
    <row r="3271" spans="2:3" x14ac:dyDescent="0.3">
      <c r="B3271" s="179">
        <v>4653</v>
      </c>
      <c r="C3271" s="175" t="s">
        <v>3359</v>
      </c>
    </row>
    <row r="3272" spans="2:3" x14ac:dyDescent="0.3">
      <c r="B3272" s="179">
        <v>4655</v>
      </c>
      <c r="C3272" s="175" t="s">
        <v>3360</v>
      </c>
    </row>
    <row r="3273" spans="2:3" x14ac:dyDescent="0.3">
      <c r="B3273" s="179">
        <v>4656</v>
      </c>
      <c r="C3273" s="175" t="s">
        <v>3361</v>
      </c>
    </row>
    <row r="3274" spans="2:3" x14ac:dyDescent="0.3">
      <c r="B3274" s="179">
        <v>5034</v>
      </c>
      <c r="C3274" s="175" t="s">
        <v>3362</v>
      </c>
    </row>
    <row r="3275" spans="2:3" x14ac:dyDescent="0.3">
      <c r="B3275" s="179">
        <v>5343</v>
      </c>
      <c r="C3275" s="175" t="s">
        <v>3363</v>
      </c>
    </row>
    <row r="3276" spans="2:3" x14ac:dyDescent="0.3">
      <c r="B3276" s="179">
        <v>20428</v>
      </c>
      <c r="C3276" s="175" t="s">
        <v>3364</v>
      </c>
    </row>
    <row r="3277" spans="2:3" x14ac:dyDescent="0.3">
      <c r="B3277" s="179">
        <v>26448</v>
      </c>
      <c r="C3277" s="175" t="s">
        <v>3365</v>
      </c>
    </row>
    <row r="3278" spans="2:3" x14ac:dyDescent="0.3">
      <c r="B3278" s="179">
        <v>43469</v>
      </c>
      <c r="C3278" s="175" t="s">
        <v>3366</v>
      </c>
    </row>
    <row r="3279" spans="2:3" x14ac:dyDescent="0.3">
      <c r="B3279" s="179">
        <v>67116</v>
      </c>
      <c r="C3279" s="175" t="s">
        <v>3367</v>
      </c>
    </row>
    <row r="3280" spans="2:3" x14ac:dyDescent="0.3">
      <c r="B3280" s="179">
        <v>67853</v>
      </c>
      <c r="C3280" s="175" t="s">
        <v>3368</v>
      </c>
    </row>
    <row r="3281" spans="2:3" x14ac:dyDescent="0.3">
      <c r="B3281" s="179">
        <v>68449</v>
      </c>
      <c r="C3281" s="175" t="s">
        <v>3369</v>
      </c>
    </row>
    <row r="3282" spans="2:3" x14ac:dyDescent="0.3">
      <c r="B3282" s="179">
        <v>71410</v>
      </c>
      <c r="C3282" s="175" t="s">
        <v>371</v>
      </c>
    </row>
    <row r="3283" spans="2:3" x14ac:dyDescent="0.3">
      <c r="B3283" s="179">
        <v>71807</v>
      </c>
      <c r="C3283" s="175" t="s">
        <v>3370</v>
      </c>
    </row>
    <row r="3284" spans="2:3" x14ac:dyDescent="0.3">
      <c r="B3284" s="179">
        <v>72464</v>
      </c>
      <c r="C3284" s="175" t="s">
        <v>3371</v>
      </c>
    </row>
    <row r="3285" spans="2:3" x14ac:dyDescent="0.3">
      <c r="B3285" s="179">
        <v>75205</v>
      </c>
      <c r="C3285" s="175" t="s">
        <v>3372</v>
      </c>
    </row>
    <row r="3286" spans="2:3" x14ac:dyDescent="0.3">
      <c r="B3286" s="179">
        <v>76910</v>
      </c>
      <c r="C3286" s="175" t="s">
        <v>3373</v>
      </c>
    </row>
    <row r="3287" spans="2:3" x14ac:dyDescent="0.3">
      <c r="B3287" s="179">
        <v>80885</v>
      </c>
      <c r="C3287" s="175" t="s">
        <v>3374</v>
      </c>
    </row>
    <row r="3288" spans="2:3" x14ac:dyDescent="0.3">
      <c r="B3288" s="179">
        <v>87577</v>
      </c>
      <c r="C3288" s="175" t="s">
        <v>3375</v>
      </c>
    </row>
    <row r="3289" spans="2:3" x14ac:dyDescent="0.3">
      <c r="B3289" s="179">
        <v>88870</v>
      </c>
      <c r="C3289" s="175" t="s">
        <v>3376</v>
      </c>
    </row>
    <row r="3290" spans="2:3" x14ac:dyDescent="0.3">
      <c r="B3290" s="179">
        <v>90458</v>
      </c>
      <c r="C3290" s="175" t="s">
        <v>3377</v>
      </c>
    </row>
    <row r="3291" spans="2:3" x14ac:dyDescent="0.3">
      <c r="B3291" s="179">
        <v>91006</v>
      </c>
      <c r="C3291" s="175" t="s">
        <v>3378</v>
      </c>
    </row>
    <row r="3292" spans="2:3" x14ac:dyDescent="0.3">
      <c r="B3292" s="179">
        <v>101431</v>
      </c>
      <c r="C3292" s="175" t="s">
        <v>3379</v>
      </c>
    </row>
    <row r="3293" spans="2:3" x14ac:dyDescent="0.3">
      <c r="B3293" s="179">
        <v>4559</v>
      </c>
      <c r="C3293" s="175" t="s">
        <v>3380</v>
      </c>
    </row>
    <row r="3294" spans="2:3" x14ac:dyDescent="0.3">
      <c r="B3294" s="179">
        <v>23459</v>
      </c>
      <c r="C3294" s="175" t="s">
        <v>3381</v>
      </c>
    </row>
    <row r="3295" spans="2:3" x14ac:dyDescent="0.3">
      <c r="B3295" s="179">
        <v>23474</v>
      </c>
      <c r="C3295" s="175" t="s">
        <v>3382</v>
      </c>
    </row>
    <row r="3296" spans="2:3" x14ac:dyDescent="0.3">
      <c r="B3296" s="179">
        <v>23487</v>
      </c>
      <c r="C3296" s="175" t="s">
        <v>3356</v>
      </c>
    </row>
    <row r="3297" spans="2:3" x14ac:dyDescent="0.3">
      <c r="B3297" s="179">
        <v>23494</v>
      </c>
      <c r="C3297" s="175" t="s">
        <v>3383</v>
      </c>
    </row>
    <row r="3298" spans="2:3" x14ac:dyDescent="0.3">
      <c r="B3298" s="179">
        <v>23502</v>
      </c>
      <c r="C3298" s="175" t="s">
        <v>3384</v>
      </c>
    </row>
    <row r="3299" spans="2:3" x14ac:dyDescent="0.3">
      <c r="B3299" s="179">
        <v>23528</v>
      </c>
      <c r="C3299" s="175" t="s">
        <v>3385</v>
      </c>
    </row>
    <row r="3300" spans="2:3" x14ac:dyDescent="0.3">
      <c r="B3300" s="179">
        <v>23530</v>
      </c>
      <c r="C3300" s="175" t="s">
        <v>1508</v>
      </c>
    </row>
    <row r="3301" spans="2:3" x14ac:dyDescent="0.3">
      <c r="B3301" s="179">
        <v>23532</v>
      </c>
      <c r="C3301" s="175" t="s">
        <v>3386</v>
      </c>
    </row>
    <row r="3302" spans="2:3" x14ac:dyDescent="0.3">
      <c r="B3302" s="179">
        <v>23535</v>
      </c>
      <c r="C3302" s="175" t="s">
        <v>3387</v>
      </c>
    </row>
    <row r="3303" spans="2:3" x14ac:dyDescent="0.3">
      <c r="B3303" s="179">
        <v>23537</v>
      </c>
      <c r="C3303" s="175" t="s">
        <v>3388</v>
      </c>
    </row>
    <row r="3304" spans="2:3" x14ac:dyDescent="0.3">
      <c r="B3304" s="179">
        <v>23538</v>
      </c>
      <c r="C3304" s="175" t="s">
        <v>3389</v>
      </c>
    </row>
    <row r="3305" spans="2:3" x14ac:dyDescent="0.3">
      <c r="B3305" s="179">
        <v>23539</v>
      </c>
      <c r="C3305" s="175" t="s">
        <v>3390</v>
      </c>
    </row>
    <row r="3306" spans="2:3" x14ac:dyDescent="0.3">
      <c r="B3306" s="179">
        <v>23544</v>
      </c>
      <c r="C3306" s="175" t="s">
        <v>3391</v>
      </c>
    </row>
    <row r="3307" spans="2:3" x14ac:dyDescent="0.3">
      <c r="B3307" s="179">
        <v>23545</v>
      </c>
      <c r="C3307" s="175" t="s">
        <v>3392</v>
      </c>
    </row>
    <row r="3308" spans="2:3" x14ac:dyDescent="0.3">
      <c r="B3308" s="179">
        <v>23552</v>
      </c>
      <c r="C3308" s="175" t="s">
        <v>3393</v>
      </c>
    </row>
    <row r="3309" spans="2:3" x14ac:dyDescent="0.3">
      <c r="B3309" s="179">
        <v>23556</v>
      </c>
      <c r="C3309" s="175" t="s">
        <v>3394</v>
      </c>
    </row>
    <row r="3310" spans="2:3" x14ac:dyDescent="0.3">
      <c r="B3310" s="179">
        <v>23557</v>
      </c>
      <c r="C3310" s="175" t="s">
        <v>3395</v>
      </c>
    </row>
    <row r="3311" spans="2:3" x14ac:dyDescent="0.3">
      <c r="B3311" s="179">
        <v>23560</v>
      </c>
      <c r="C3311" s="175" t="s">
        <v>3396</v>
      </c>
    </row>
    <row r="3312" spans="2:3" x14ac:dyDescent="0.3">
      <c r="B3312" s="179">
        <v>23563</v>
      </c>
      <c r="C3312" s="175" t="s">
        <v>3397</v>
      </c>
    </row>
    <row r="3313" spans="2:3" x14ac:dyDescent="0.3">
      <c r="B3313" s="179">
        <v>23568</v>
      </c>
      <c r="C3313" s="175" t="s">
        <v>3398</v>
      </c>
    </row>
    <row r="3314" spans="2:3" x14ac:dyDescent="0.3">
      <c r="B3314" s="179">
        <v>23570</v>
      </c>
      <c r="C3314" s="175" t="s">
        <v>3399</v>
      </c>
    </row>
    <row r="3315" spans="2:3" x14ac:dyDescent="0.3">
      <c r="B3315" s="179">
        <v>32887</v>
      </c>
      <c r="C3315" s="175" t="s">
        <v>3400</v>
      </c>
    </row>
    <row r="3316" spans="2:3" x14ac:dyDescent="0.3">
      <c r="B3316" s="179">
        <v>33734</v>
      </c>
      <c r="C3316" s="175" t="s">
        <v>3401</v>
      </c>
    </row>
    <row r="3317" spans="2:3" x14ac:dyDescent="0.3">
      <c r="B3317" s="179">
        <v>42643</v>
      </c>
      <c r="C3317" s="175" t="s">
        <v>3402</v>
      </c>
    </row>
    <row r="3318" spans="2:3" x14ac:dyDescent="0.3">
      <c r="B3318" s="179">
        <v>51920</v>
      </c>
      <c r="C3318" s="175" t="s">
        <v>3403</v>
      </c>
    </row>
    <row r="3319" spans="2:3" x14ac:dyDescent="0.3">
      <c r="B3319" s="179">
        <v>54853</v>
      </c>
      <c r="C3319" s="175" t="s">
        <v>3404</v>
      </c>
    </row>
    <row r="3320" spans="2:3" x14ac:dyDescent="0.3">
      <c r="B3320" s="179">
        <v>68508</v>
      </c>
      <c r="C3320" s="175" t="s">
        <v>3405</v>
      </c>
    </row>
    <row r="3321" spans="2:3" x14ac:dyDescent="0.3">
      <c r="B3321" s="179">
        <v>71413</v>
      </c>
      <c r="C3321" s="175" t="s">
        <v>3406</v>
      </c>
    </row>
    <row r="3322" spans="2:3" x14ac:dyDescent="0.3">
      <c r="B3322" s="179">
        <v>75608</v>
      </c>
      <c r="C3322" s="175" t="s">
        <v>3407</v>
      </c>
    </row>
    <row r="3323" spans="2:3" x14ac:dyDescent="0.3">
      <c r="B3323" s="179">
        <v>81486</v>
      </c>
      <c r="C3323" s="175" t="s">
        <v>3408</v>
      </c>
    </row>
    <row r="3324" spans="2:3" x14ac:dyDescent="0.3">
      <c r="B3324" s="179">
        <v>75071</v>
      </c>
      <c r="C3324" s="175" t="s">
        <v>808</v>
      </c>
    </row>
    <row r="3325" spans="2:3" x14ac:dyDescent="0.3">
      <c r="B3325" s="179">
        <v>3876</v>
      </c>
      <c r="C3325" s="175" t="s">
        <v>3409</v>
      </c>
    </row>
    <row r="3326" spans="2:3" x14ac:dyDescent="0.3">
      <c r="B3326" s="179">
        <v>4654</v>
      </c>
      <c r="C3326" s="175" t="s">
        <v>3410</v>
      </c>
    </row>
    <row r="3327" spans="2:3" x14ac:dyDescent="0.3">
      <c r="B3327" s="179">
        <v>6016</v>
      </c>
      <c r="C3327" s="175" t="s">
        <v>3411</v>
      </c>
    </row>
    <row r="3328" spans="2:3" x14ac:dyDescent="0.3">
      <c r="B3328" s="179">
        <v>13553</v>
      </c>
      <c r="C3328" s="175" t="s">
        <v>3412</v>
      </c>
    </row>
    <row r="3329" spans="2:3" x14ac:dyDescent="0.3">
      <c r="B3329" s="179">
        <v>64129</v>
      </c>
      <c r="C3329" s="175" t="s">
        <v>3413</v>
      </c>
    </row>
    <row r="3330" spans="2:3" x14ac:dyDescent="0.3">
      <c r="B3330" s="179">
        <v>66577</v>
      </c>
      <c r="C3330" s="175" t="s">
        <v>3414</v>
      </c>
    </row>
    <row r="3331" spans="2:3" x14ac:dyDescent="0.3">
      <c r="B3331" s="179">
        <v>69657</v>
      </c>
      <c r="C3331" s="175" t="s">
        <v>3415</v>
      </c>
    </row>
    <row r="3332" spans="2:3" x14ac:dyDescent="0.3">
      <c r="B3332" s="179">
        <v>71081</v>
      </c>
      <c r="C3332" s="175" t="s">
        <v>3416</v>
      </c>
    </row>
    <row r="3333" spans="2:3" x14ac:dyDescent="0.3">
      <c r="B3333" s="179">
        <v>88685</v>
      </c>
      <c r="C3333" s="175" t="s">
        <v>3417</v>
      </c>
    </row>
    <row r="3334" spans="2:3" x14ac:dyDescent="0.3">
      <c r="B3334" s="179">
        <v>100374</v>
      </c>
      <c r="C3334" s="175" t="s">
        <v>3418</v>
      </c>
    </row>
    <row r="3335" spans="2:3" x14ac:dyDescent="0.3">
      <c r="B3335" s="179">
        <v>1823</v>
      </c>
      <c r="C3335" s="175" t="s">
        <v>3419</v>
      </c>
    </row>
    <row r="3336" spans="2:3" x14ac:dyDescent="0.3">
      <c r="B3336" s="179">
        <v>3318</v>
      </c>
      <c r="C3336" s="175" t="s">
        <v>3420</v>
      </c>
    </row>
    <row r="3337" spans="2:3" x14ac:dyDescent="0.3">
      <c r="B3337" s="179">
        <v>3900</v>
      </c>
      <c r="C3337" s="175" t="s">
        <v>3421</v>
      </c>
    </row>
    <row r="3338" spans="2:3" x14ac:dyDescent="0.3">
      <c r="B3338" s="179">
        <v>4543</v>
      </c>
      <c r="C3338" s="175" t="s">
        <v>3422</v>
      </c>
    </row>
    <row r="3339" spans="2:3" x14ac:dyDescent="0.3">
      <c r="B3339" s="179">
        <v>4611</v>
      </c>
      <c r="C3339" s="175" t="s">
        <v>3423</v>
      </c>
    </row>
    <row r="3340" spans="2:3" x14ac:dyDescent="0.3">
      <c r="B3340" s="179">
        <v>5106</v>
      </c>
      <c r="C3340" s="175" t="s">
        <v>3424</v>
      </c>
    </row>
    <row r="3341" spans="2:3" x14ac:dyDescent="0.3">
      <c r="B3341" s="179">
        <v>6423</v>
      </c>
      <c r="C3341" s="175" t="s">
        <v>3425</v>
      </c>
    </row>
    <row r="3342" spans="2:3" x14ac:dyDescent="0.3">
      <c r="B3342" s="179">
        <v>6477</v>
      </c>
      <c r="C3342" s="175" t="s">
        <v>3426</v>
      </c>
    </row>
    <row r="3343" spans="2:3" x14ac:dyDescent="0.3">
      <c r="B3343" s="179">
        <v>13552</v>
      </c>
      <c r="C3343" s="175" t="s">
        <v>3427</v>
      </c>
    </row>
    <row r="3344" spans="2:3" x14ac:dyDescent="0.3">
      <c r="B3344" s="179">
        <v>14162</v>
      </c>
      <c r="C3344" s="175" t="s">
        <v>3428</v>
      </c>
    </row>
    <row r="3345" spans="2:3" x14ac:dyDescent="0.3">
      <c r="B3345" s="179">
        <v>20464</v>
      </c>
      <c r="C3345" s="175" t="s">
        <v>3429</v>
      </c>
    </row>
    <row r="3346" spans="2:3" x14ac:dyDescent="0.3">
      <c r="B3346" s="179">
        <v>20764</v>
      </c>
      <c r="C3346" s="175" t="s">
        <v>3430</v>
      </c>
    </row>
    <row r="3347" spans="2:3" x14ac:dyDescent="0.3">
      <c r="B3347" s="179">
        <v>41563</v>
      </c>
      <c r="C3347" s="175" t="s">
        <v>3431</v>
      </c>
    </row>
    <row r="3348" spans="2:3" x14ac:dyDescent="0.3">
      <c r="B3348" s="179">
        <v>54782</v>
      </c>
      <c r="C3348" s="175" t="s">
        <v>3432</v>
      </c>
    </row>
    <row r="3349" spans="2:3" x14ac:dyDescent="0.3">
      <c r="B3349" s="179">
        <v>62534</v>
      </c>
      <c r="C3349" s="175" t="s">
        <v>3433</v>
      </c>
    </row>
    <row r="3350" spans="2:3" x14ac:dyDescent="0.3">
      <c r="B3350" s="179">
        <v>62860</v>
      </c>
      <c r="C3350" s="175" t="s">
        <v>3434</v>
      </c>
    </row>
    <row r="3351" spans="2:3" x14ac:dyDescent="0.3">
      <c r="B3351" s="179">
        <v>67363</v>
      </c>
      <c r="C3351" s="175" t="s">
        <v>3435</v>
      </c>
    </row>
    <row r="3352" spans="2:3" x14ac:dyDescent="0.3">
      <c r="B3352" s="179">
        <v>83733</v>
      </c>
      <c r="C3352" s="175" t="s">
        <v>3436</v>
      </c>
    </row>
    <row r="3353" spans="2:3" x14ac:dyDescent="0.3">
      <c r="B3353" s="179">
        <v>101418</v>
      </c>
      <c r="C3353" s="175" t="s">
        <v>3437</v>
      </c>
    </row>
    <row r="3354" spans="2:3" x14ac:dyDescent="0.3">
      <c r="B3354" s="179">
        <v>83614</v>
      </c>
      <c r="C3354" s="175" t="s">
        <v>3438</v>
      </c>
    </row>
    <row r="3355" spans="2:3" x14ac:dyDescent="0.3">
      <c r="B3355" s="179">
        <v>88307</v>
      </c>
      <c r="C3355" s="175" t="s">
        <v>3439</v>
      </c>
    </row>
    <row r="3356" spans="2:3" x14ac:dyDescent="0.3">
      <c r="B3356" s="179">
        <v>89928</v>
      </c>
      <c r="C3356" s="175" t="s">
        <v>3440</v>
      </c>
    </row>
    <row r="3357" spans="2:3" x14ac:dyDescent="0.3">
      <c r="B3357" s="179">
        <v>90412</v>
      </c>
      <c r="C3357" s="175" t="s">
        <v>3441</v>
      </c>
    </row>
    <row r="3358" spans="2:3" x14ac:dyDescent="0.3">
      <c r="B3358" s="179">
        <v>90612</v>
      </c>
      <c r="C3358" s="175" t="s">
        <v>3442</v>
      </c>
    </row>
    <row r="3359" spans="2:3" x14ac:dyDescent="0.3">
      <c r="B3359" s="179">
        <v>3356</v>
      </c>
      <c r="C3359" s="175" t="s">
        <v>3443</v>
      </c>
    </row>
    <row r="3360" spans="2:3" x14ac:dyDescent="0.3">
      <c r="B3360" s="179">
        <v>3713</v>
      </c>
      <c r="C3360" s="175" t="s">
        <v>3444</v>
      </c>
    </row>
    <row r="3361" spans="2:3" x14ac:dyDescent="0.3">
      <c r="B3361" s="179">
        <v>3873</v>
      </c>
      <c r="C3361" s="175" t="s">
        <v>3445</v>
      </c>
    </row>
    <row r="3362" spans="2:3" x14ac:dyDescent="0.3">
      <c r="B3362" s="179">
        <v>4100</v>
      </c>
      <c r="C3362" s="175" t="s">
        <v>3446</v>
      </c>
    </row>
    <row r="3363" spans="2:3" x14ac:dyDescent="0.3">
      <c r="B3363" s="179">
        <v>4101</v>
      </c>
      <c r="C3363" s="175" t="s">
        <v>3447</v>
      </c>
    </row>
    <row r="3364" spans="2:3" x14ac:dyDescent="0.3">
      <c r="B3364" s="179">
        <v>5837</v>
      </c>
      <c r="C3364" s="175" t="s">
        <v>3448</v>
      </c>
    </row>
    <row r="3365" spans="2:3" x14ac:dyDescent="0.3">
      <c r="B3365" s="179">
        <v>6002</v>
      </c>
      <c r="C3365" s="175" t="s">
        <v>3449</v>
      </c>
    </row>
    <row r="3366" spans="2:3" x14ac:dyDescent="0.3">
      <c r="B3366" s="179">
        <v>10642</v>
      </c>
      <c r="C3366" s="175" t="s">
        <v>3450</v>
      </c>
    </row>
    <row r="3367" spans="2:3" x14ac:dyDescent="0.3">
      <c r="B3367" s="179">
        <v>17908</v>
      </c>
      <c r="C3367" s="175" t="s">
        <v>3451</v>
      </c>
    </row>
    <row r="3368" spans="2:3" x14ac:dyDescent="0.3">
      <c r="B3368" s="179">
        <v>40030</v>
      </c>
      <c r="C3368" s="175" t="s">
        <v>3452</v>
      </c>
    </row>
    <row r="3369" spans="2:3" x14ac:dyDescent="0.3">
      <c r="B3369" s="179">
        <v>42656</v>
      </c>
      <c r="C3369" s="175" t="s">
        <v>3453</v>
      </c>
    </row>
    <row r="3370" spans="2:3" x14ac:dyDescent="0.3">
      <c r="B3370" s="179">
        <v>54280</v>
      </c>
      <c r="C3370" s="175" t="s">
        <v>3454</v>
      </c>
    </row>
    <row r="3371" spans="2:3" x14ac:dyDescent="0.3">
      <c r="B3371" s="179">
        <v>76329</v>
      </c>
      <c r="C3371" s="175" t="s">
        <v>3455</v>
      </c>
    </row>
    <row r="3372" spans="2:3" x14ac:dyDescent="0.3">
      <c r="B3372" s="179">
        <v>83955</v>
      </c>
      <c r="C3372" s="175" t="s">
        <v>3456</v>
      </c>
    </row>
    <row r="3373" spans="2:3" x14ac:dyDescent="0.3">
      <c r="B3373" s="179">
        <v>81542</v>
      </c>
      <c r="C3373" s="175" t="s">
        <v>3457</v>
      </c>
    </row>
    <row r="3374" spans="2:3" x14ac:dyDescent="0.3">
      <c r="B3374" s="179">
        <v>81565</v>
      </c>
      <c r="C3374" s="175" t="s">
        <v>3458</v>
      </c>
    </row>
    <row r="3375" spans="2:3" x14ac:dyDescent="0.3">
      <c r="B3375" s="179">
        <v>81628</v>
      </c>
      <c r="C3375" s="175" t="s">
        <v>3459</v>
      </c>
    </row>
    <row r="3376" spans="2:3" x14ac:dyDescent="0.3">
      <c r="B3376" s="179">
        <v>81630</v>
      </c>
      <c r="C3376" s="175" t="s">
        <v>3460</v>
      </c>
    </row>
    <row r="3377" spans="2:3" x14ac:dyDescent="0.3">
      <c r="B3377" s="179">
        <v>81672</v>
      </c>
      <c r="C3377" s="175" t="s">
        <v>3461</v>
      </c>
    </row>
    <row r="3378" spans="2:3" x14ac:dyDescent="0.3">
      <c r="B3378" s="179">
        <v>82066</v>
      </c>
      <c r="C3378" s="175" t="s">
        <v>3462</v>
      </c>
    </row>
    <row r="3379" spans="2:3" x14ac:dyDescent="0.3">
      <c r="B3379" s="179">
        <v>82113</v>
      </c>
      <c r="C3379" s="175" t="s">
        <v>3463</v>
      </c>
    </row>
    <row r="3380" spans="2:3" x14ac:dyDescent="0.3">
      <c r="B3380" s="179">
        <v>82124</v>
      </c>
      <c r="C3380" s="175" t="s">
        <v>3464</v>
      </c>
    </row>
    <row r="3381" spans="2:3" x14ac:dyDescent="0.3">
      <c r="B3381" s="179">
        <v>83212</v>
      </c>
      <c r="C3381" s="175" t="s">
        <v>3465</v>
      </c>
    </row>
    <row r="3382" spans="2:3" x14ac:dyDescent="0.3">
      <c r="B3382" s="179">
        <v>85231</v>
      </c>
      <c r="C3382" s="175" t="s">
        <v>3466</v>
      </c>
    </row>
    <row r="3383" spans="2:3" x14ac:dyDescent="0.3">
      <c r="B3383" s="179">
        <v>85232</v>
      </c>
      <c r="C3383" s="175" t="s">
        <v>3467</v>
      </c>
    </row>
    <row r="3384" spans="2:3" x14ac:dyDescent="0.3">
      <c r="B3384" s="179">
        <v>86266</v>
      </c>
      <c r="C3384" s="175" t="s">
        <v>3468</v>
      </c>
    </row>
    <row r="3385" spans="2:3" x14ac:dyDescent="0.3">
      <c r="B3385" s="179">
        <v>89654</v>
      </c>
      <c r="C3385" s="175" t="s">
        <v>3469</v>
      </c>
    </row>
    <row r="3386" spans="2:3" x14ac:dyDescent="0.3">
      <c r="B3386" s="179">
        <v>90886</v>
      </c>
      <c r="C3386" s="175" t="s">
        <v>3470</v>
      </c>
    </row>
    <row r="3387" spans="2:3" x14ac:dyDescent="0.3">
      <c r="B3387" s="179">
        <v>2357</v>
      </c>
      <c r="C3387" s="175" t="s">
        <v>3471</v>
      </c>
    </row>
    <row r="3388" spans="2:3" x14ac:dyDescent="0.3">
      <c r="B3388" s="179">
        <v>3347</v>
      </c>
      <c r="C3388" s="175" t="s">
        <v>3472</v>
      </c>
    </row>
    <row r="3389" spans="2:3" x14ac:dyDescent="0.3">
      <c r="B3389" s="179">
        <v>3800</v>
      </c>
      <c r="C3389" s="175" t="s">
        <v>3473</v>
      </c>
    </row>
    <row r="3390" spans="2:3" x14ac:dyDescent="0.3">
      <c r="B3390" s="179">
        <v>5504</v>
      </c>
      <c r="C3390" s="175" t="s">
        <v>3474</v>
      </c>
    </row>
    <row r="3391" spans="2:3" x14ac:dyDescent="0.3">
      <c r="B3391" s="179">
        <v>5667</v>
      </c>
      <c r="C3391" s="175" t="s">
        <v>3475</v>
      </c>
    </row>
    <row r="3392" spans="2:3" x14ac:dyDescent="0.3">
      <c r="B3392" s="179">
        <v>11390</v>
      </c>
      <c r="C3392" s="175" t="s">
        <v>3476</v>
      </c>
    </row>
    <row r="3393" spans="2:3" x14ac:dyDescent="0.3">
      <c r="B3393" s="179">
        <v>15878</v>
      </c>
      <c r="C3393" s="175" t="s">
        <v>3477</v>
      </c>
    </row>
    <row r="3394" spans="2:3" x14ac:dyDescent="0.3">
      <c r="B3394" s="179">
        <v>19150</v>
      </c>
      <c r="C3394" s="175" t="s">
        <v>3478</v>
      </c>
    </row>
    <row r="3395" spans="2:3" x14ac:dyDescent="0.3">
      <c r="B3395" s="179">
        <v>20767</v>
      </c>
      <c r="C3395" s="175" t="s">
        <v>3479</v>
      </c>
    </row>
    <row r="3396" spans="2:3" x14ac:dyDescent="0.3">
      <c r="B3396" s="179">
        <v>24416</v>
      </c>
      <c r="C3396" s="175" t="s">
        <v>3480</v>
      </c>
    </row>
    <row r="3397" spans="2:3" x14ac:dyDescent="0.3">
      <c r="B3397" s="179">
        <v>32002</v>
      </c>
      <c r="C3397" s="175" t="s">
        <v>3481</v>
      </c>
    </row>
    <row r="3398" spans="2:3" x14ac:dyDescent="0.3">
      <c r="B3398" s="179">
        <v>33183</v>
      </c>
      <c r="C3398" s="175" t="s">
        <v>3482</v>
      </c>
    </row>
    <row r="3399" spans="2:3" x14ac:dyDescent="0.3">
      <c r="B3399" s="179">
        <v>33931</v>
      </c>
      <c r="C3399" s="175" t="s">
        <v>3483</v>
      </c>
    </row>
    <row r="3400" spans="2:3" x14ac:dyDescent="0.3">
      <c r="B3400" s="179">
        <v>41449</v>
      </c>
      <c r="C3400" s="175" t="s">
        <v>3484</v>
      </c>
    </row>
    <row r="3401" spans="2:3" x14ac:dyDescent="0.3">
      <c r="B3401" s="179">
        <v>53801</v>
      </c>
      <c r="C3401" s="175" t="s">
        <v>3485</v>
      </c>
    </row>
    <row r="3402" spans="2:3" x14ac:dyDescent="0.3">
      <c r="B3402" s="179">
        <v>62158</v>
      </c>
      <c r="C3402" s="175" t="s">
        <v>3486</v>
      </c>
    </row>
    <row r="3403" spans="2:3" x14ac:dyDescent="0.3">
      <c r="B3403" s="179">
        <v>72088</v>
      </c>
      <c r="C3403" s="175" t="s">
        <v>3487</v>
      </c>
    </row>
    <row r="3404" spans="2:3" x14ac:dyDescent="0.3">
      <c r="B3404" s="179">
        <v>75258</v>
      </c>
      <c r="C3404" s="175" t="s">
        <v>3488</v>
      </c>
    </row>
    <row r="3405" spans="2:3" x14ac:dyDescent="0.3">
      <c r="B3405" s="179">
        <v>88713</v>
      </c>
      <c r="C3405" s="175" t="s">
        <v>3489</v>
      </c>
    </row>
    <row r="3406" spans="2:3" x14ac:dyDescent="0.3">
      <c r="B3406" s="179">
        <v>86801</v>
      </c>
      <c r="C3406" s="175" t="s">
        <v>3490</v>
      </c>
    </row>
    <row r="3407" spans="2:3" x14ac:dyDescent="0.3">
      <c r="B3407" s="179">
        <v>101423</v>
      </c>
      <c r="C3407" s="175" t="s">
        <v>3491</v>
      </c>
    </row>
    <row r="3408" spans="2:3" x14ac:dyDescent="0.3">
      <c r="B3408" s="179">
        <v>3164</v>
      </c>
      <c r="C3408" s="175" t="s">
        <v>3492</v>
      </c>
    </row>
    <row r="3409" spans="2:3" x14ac:dyDescent="0.3">
      <c r="B3409" s="179">
        <v>3348</v>
      </c>
      <c r="C3409" s="175" t="s">
        <v>3493</v>
      </c>
    </row>
    <row r="3410" spans="2:3" x14ac:dyDescent="0.3">
      <c r="B3410" s="179">
        <v>3654</v>
      </c>
      <c r="C3410" s="175" t="s">
        <v>3494</v>
      </c>
    </row>
    <row r="3411" spans="2:3" x14ac:dyDescent="0.3">
      <c r="B3411" s="179">
        <v>4730</v>
      </c>
      <c r="C3411" s="175" t="s">
        <v>3495</v>
      </c>
    </row>
    <row r="3412" spans="2:3" x14ac:dyDescent="0.3">
      <c r="B3412" s="179">
        <v>6151</v>
      </c>
      <c r="C3412" s="175" t="s">
        <v>3496</v>
      </c>
    </row>
    <row r="3413" spans="2:3" x14ac:dyDescent="0.3">
      <c r="B3413" s="179">
        <v>20062</v>
      </c>
      <c r="C3413" s="175" t="s">
        <v>3497</v>
      </c>
    </row>
    <row r="3414" spans="2:3" x14ac:dyDescent="0.3">
      <c r="B3414" s="179">
        <v>23411</v>
      </c>
      <c r="C3414" s="175" t="s">
        <v>3498</v>
      </c>
    </row>
    <row r="3415" spans="2:3" x14ac:dyDescent="0.3">
      <c r="B3415" s="179">
        <v>23811</v>
      </c>
      <c r="C3415" s="175" t="s">
        <v>3499</v>
      </c>
    </row>
    <row r="3416" spans="2:3" x14ac:dyDescent="0.3">
      <c r="B3416" s="179">
        <v>26312</v>
      </c>
      <c r="C3416" s="175" t="s">
        <v>3500</v>
      </c>
    </row>
    <row r="3417" spans="2:3" x14ac:dyDescent="0.3">
      <c r="B3417" s="179">
        <v>28306</v>
      </c>
      <c r="C3417" s="175" t="s">
        <v>3501</v>
      </c>
    </row>
    <row r="3418" spans="2:3" x14ac:dyDescent="0.3">
      <c r="B3418" s="179">
        <v>50919</v>
      </c>
      <c r="C3418" s="175" t="s">
        <v>3502</v>
      </c>
    </row>
    <row r="3419" spans="2:3" x14ac:dyDescent="0.3">
      <c r="B3419" s="179">
        <v>51293</v>
      </c>
      <c r="C3419" s="175" t="s">
        <v>3503</v>
      </c>
    </row>
    <row r="3420" spans="2:3" x14ac:dyDescent="0.3">
      <c r="B3420" s="179">
        <v>54988</v>
      </c>
      <c r="C3420" s="175" t="s">
        <v>3504</v>
      </c>
    </row>
    <row r="3421" spans="2:3" x14ac:dyDescent="0.3">
      <c r="B3421" s="179">
        <v>60378</v>
      </c>
      <c r="C3421" s="175" t="s">
        <v>3505</v>
      </c>
    </row>
    <row r="3422" spans="2:3" x14ac:dyDescent="0.3">
      <c r="B3422" s="179">
        <v>69774</v>
      </c>
      <c r="C3422" s="175" t="s">
        <v>3506</v>
      </c>
    </row>
    <row r="3423" spans="2:3" x14ac:dyDescent="0.3">
      <c r="B3423" s="179">
        <v>77545</v>
      </c>
      <c r="C3423" s="175" t="s">
        <v>3507</v>
      </c>
    </row>
    <row r="3424" spans="2:3" x14ac:dyDescent="0.3">
      <c r="B3424" s="179">
        <v>77874</v>
      </c>
      <c r="C3424" s="175" t="s">
        <v>3508</v>
      </c>
    </row>
    <row r="3425" spans="2:3" x14ac:dyDescent="0.3">
      <c r="B3425" s="179">
        <v>80160</v>
      </c>
      <c r="C3425" s="175" t="s">
        <v>3509</v>
      </c>
    </row>
    <row r="3426" spans="2:3" x14ac:dyDescent="0.3">
      <c r="B3426" s="179">
        <v>89316</v>
      </c>
      <c r="C3426" s="175" t="s">
        <v>3510</v>
      </c>
    </row>
    <row r="3427" spans="2:3" x14ac:dyDescent="0.3">
      <c r="B3427" s="179">
        <v>89709</v>
      </c>
      <c r="C3427" s="175" t="s">
        <v>3511</v>
      </c>
    </row>
    <row r="3428" spans="2:3" x14ac:dyDescent="0.3">
      <c r="B3428" s="179">
        <v>2926</v>
      </c>
      <c r="C3428" s="175" t="s">
        <v>3512</v>
      </c>
    </row>
    <row r="3429" spans="2:3" x14ac:dyDescent="0.3">
      <c r="B3429" s="179">
        <v>3284</v>
      </c>
      <c r="C3429" s="175" t="s">
        <v>3513</v>
      </c>
    </row>
    <row r="3430" spans="2:3" x14ac:dyDescent="0.3">
      <c r="B3430" s="179">
        <v>3285</v>
      </c>
      <c r="C3430" s="175" t="s">
        <v>3514</v>
      </c>
    </row>
    <row r="3431" spans="2:3" x14ac:dyDescent="0.3">
      <c r="B3431" s="179">
        <v>5624</v>
      </c>
      <c r="C3431" s="175" t="s">
        <v>3515</v>
      </c>
    </row>
    <row r="3432" spans="2:3" x14ac:dyDescent="0.3">
      <c r="B3432" s="179">
        <v>13681</v>
      </c>
      <c r="C3432" s="175" t="s">
        <v>3516</v>
      </c>
    </row>
    <row r="3433" spans="2:3" x14ac:dyDescent="0.3">
      <c r="B3433" s="179">
        <v>41161</v>
      </c>
      <c r="C3433" s="175" t="s">
        <v>3517</v>
      </c>
    </row>
    <row r="3434" spans="2:3" x14ac:dyDescent="0.3">
      <c r="B3434" s="179">
        <v>43381</v>
      </c>
      <c r="C3434" s="175" t="s">
        <v>3518</v>
      </c>
    </row>
    <row r="3435" spans="2:3" x14ac:dyDescent="0.3">
      <c r="B3435" s="179">
        <v>3136</v>
      </c>
      <c r="C3435" s="175" t="s">
        <v>3519</v>
      </c>
    </row>
    <row r="3436" spans="2:3" x14ac:dyDescent="0.3">
      <c r="B3436" s="179">
        <v>16409</v>
      </c>
      <c r="C3436" s="175" t="s">
        <v>3520</v>
      </c>
    </row>
    <row r="3437" spans="2:3" x14ac:dyDescent="0.3">
      <c r="B3437" s="179">
        <v>79941</v>
      </c>
      <c r="C3437" s="175" t="s">
        <v>3521</v>
      </c>
    </row>
    <row r="3438" spans="2:3" x14ac:dyDescent="0.3">
      <c r="B3438" s="179">
        <v>82089</v>
      </c>
      <c r="C3438" s="175" t="s">
        <v>3522</v>
      </c>
    </row>
    <row r="3439" spans="2:3" x14ac:dyDescent="0.3">
      <c r="B3439" s="179">
        <v>82125</v>
      </c>
      <c r="C3439" s="175" t="s">
        <v>3523</v>
      </c>
    </row>
    <row r="3440" spans="2:3" x14ac:dyDescent="0.3">
      <c r="B3440" s="179">
        <v>89699</v>
      </c>
      <c r="C3440" s="175" t="s">
        <v>3524</v>
      </c>
    </row>
    <row r="3441" spans="2:3" x14ac:dyDescent="0.3">
      <c r="B3441" s="179">
        <v>91010</v>
      </c>
      <c r="C3441" s="175" t="s">
        <v>3525</v>
      </c>
    </row>
    <row r="3442" spans="2:3" x14ac:dyDescent="0.3">
      <c r="B3442" s="179">
        <v>100538</v>
      </c>
      <c r="C3442" s="175" t="s">
        <v>3526</v>
      </c>
    </row>
    <row r="3443" spans="2:3" x14ac:dyDescent="0.3">
      <c r="B3443" s="179">
        <v>101176</v>
      </c>
      <c r="C3443" s="175" t="s">
        <v>3527</v>
      </c>
    </row>
    <row r="3444" spans="2:3" x14ac:dyDescent="0.3">
      <c r="B3444" s="179">
        <v>3414</v>
      </c>
      <c r="C3444" s="175" t="s">
        <v>3528</v>
      </c>
    </row>
    <row r="3445" spans="2:3" x14ac:dyDescent="0.3">
      <c r="B3445" s="179">
        <v>3424</v>
      </c>
      <c r="C3445" s="175" t="s">
        <v>3529</v>
      </c>
    </row>
    <row r="3446" spans="2:3" x14ac:dyDescent="0.3">
      <c r="B3446" s="179">
        <v>3495</v>
      </c>
      <c r="C3446" s="175" t="s">
        <v>3530</v>
      </c>
    </row>
    <row r="3447" spans="2:3" x14ac:dyDescent="0.3">
      <c r="B3447" s="179">
        <v>3655</v>
      </c>
      <c r="C3447" s="175" t="s">
        <v>3531</v>
      </c>
    </row>
    <row r="3448" spans="2:3" x14ac:dyDescent="0.3">
      <c r="B3448" s="179">
        <v>4083</v>
      </c>
      <c r="C3448" s="175" t="s">
        <v>3532</v>
      </c>
    </row>
    <row r="3449" spans="2:3" x14ac:dyDescent="0.3">
      <c r="B3449" s="179">
        <v>4106</v>
      </c>
      <c r="C3449" s="175" t="s">
        <v>3533</v>
      </c>
    </row>
    <row r="3450" spans="2:3" x14ac:dyDescent="0.3">
      <c r="B3450" s="179">
        <v>4378</v>
      </c>
      <c r="C3450" s="175" t="s">
        <v>3534</v>
      </c>
    </row>
    <row r="3451" spans="2:3" x14ac:dyDescent="0.3">
      <c r="B3451" s="179">
        <v>5250</v>
      </c>
      <c r="C3451" s="175" t="s">
        <v>3535</v>
      </c>
    </row>
    <row r="3452" spans="2:3" x14ac:dyDescent="0.3">
      <c r="B3452" s="179">
        <v>5683</v>
      </c>
      <c r="C3452" s="175" t="s">
        <v>3536</v>
      </c>
    </row>
    <row r="3453" spans="2:3" x14ac:dyDescent="0.3">
      <c r="B3453" s="179">
        <v>7611</v>
      </c>
      <c r="C3453" s="175" t="s">
        <v>3537</v>
      </c>
    </row>
    <row r="3454" spans="2:3" x14ac:dyDescent="0.3">
      <c r="B3454" s="179">
        <v>16883</v>
      </c>
      <c r="C3454" s="175" t="s">
        <v>3538</v>
      </c>
    </row>
    <row r="3455" spans="2:3" x14ac:dyDescent="0.3">
      <c r="B3455" s="179">
        <v>16936</v>
      </c>
      <c r="C3455" s="175" t="s">
        <v>3539</v>
      </c>
    </row>
    <row r="3456" spans="2:3" x14ac:dyDescent="0.3">
      <c r="B3456" s="179">
        <v>19147</v>
      </c>
      <c r="C3456" s="175" t="s">
        <v>3540</v>
      </c>
    </row>
    <row r="3457" spans="2:3" x14ac:dyDescent="0.3">
      <c r="B3457" s="179">
        <v>19690</v>
      </c>
      <c r="C3457" s="175" t="s">
        <v>3541</v>
      </c>
    </row>
    <row r="3458" spans="2:3" x14ac:dyDescent="0.3">
      <c r="B3458" s="179">
        <v>42496</v>
      </c>
      <c r="C3458" s="175" t="s">
        <v>3542</v>
      </c>
    </row>
    <row r="3459" spans="2:3" x14ac:dyDescent="0.3">
      <c r="B3459" s="179">
        <v>69842</v>
      </c>
      <c r="C3459" s="175" t="s">
        <v>3543</v>
      </c>
    </row>
    <row r="3460" spans="2:3" x14ac:dyDescent="0.3">
      <c r="B3460" s="179">
        <v>71245</v>
      </c>
      <c r="C3460" s="175" t="s">
        <v>3544</v>
      </c>
    </row>
    <row r="3461" spans="2:3" x14ac:dyDescent="0.3">
      <c r="B3461" s="179">
        <v>73281</v>
      </c>
      <c r="C3461" s="175" t="s">
        <v>3545</v>
      </c>
    </row>
    <row r="3462" spans="2:3" x14ac:dyDescent="0.3">
      <c r="B3462" s="179">
        <v>73595</v>
      </c>
      <c r="C3462" s="175" t="s">
        <v>3546</v>
      </c>
    </row>
    <row r="3463" spans="2:3" x14ac:dyDescent="0.3">
      <c r="B3463" s="179">
        <v>74213</v>
      </c>
      <c r="C3463" s="175" t="s">
        <v>3547</v>
      </c>
    </row>
    <row r="3464" spans="2:3" x14ac:dyDescent="0.3">
      <c r="B3464" s="179">
        <v>75270</v>
      </c>
      <c r="C3464" s="175" t="s">
        <v>3548</v>
      </c>
    </row>
    <row r="3465" spans="2:3" x14ac:dyDescent="0.3">
      <c r="B3465" s="179">
        <v>77911</v>
      </c>
      <c r="C3465" s="175" t="s">
        <v>3549</v>
      </c>
    </row>
    <row r="3466" spans="2:3" x14ac:dyDescent="0.3">
      <c r="B3466" s="179">
        <v>83285</v>
      </c>
      <c r="C3466" s="175" t="s">
        <v>3550</v>
      </c>
    </row>
    <row r="3467" spans="2:3" x14ac:dyDescent="0.3">
      <c r="B3467" s="179">
        <v>86199</v>
      </c>
      <c r="C3467" s="175" t="s">
        <v>3551</v>
      </c>
    </row>
    <row r="3468" spans="2:3" x14ac:dyDescent="0.3">
      <c r="B3468" s="179">
        <v>87665</v>
      </c>
      <c r="C3468" s="175" t="s">
        <v>3552</v>
      </c>
    </row>
    <row r="3469" spans="2:3" x14ac:dyDescent="0.3">
      <c r="B3469" s="179">
        <v>88863</v>
      </c>
      <c r="C3469" s="175" t="s">
        <v>3553</v>
      </c>
    </row>
    <row r="3470" spans="2:3" x14ac:dyDescent="0.3">
      <c r="B3470" s="179">
        <v>101309</v>
      </c>
      <c r="C3470" s="175" t="s">
        <v>3554</v>
      </c>
    </row>
    <row r="3471" spans="2:3" x14ac:dyDescent="0.3">
      <c r="B3471" s="179">
        <v>101311</v>
      </c>
      <c r="C3471" s="175" t="s">
        <v>3555</v>
      </c>
    </row>
    <row r="3472" spans="2:3" x14ac:dyDescent="0.3">
      <c r="B3472" s="179">
        <v>1999</v>
      </c>
      <c r="C3472" s="175" t="s">
        <v>3556</v>
      </c>
    </row>
    <row r="3473" spans="2:3" x14ac:dyDescent="0.3">
      <c r="B3473" s="179">
        <v>2382</v>
      </c>
      <c r="C3473" s="175" t="s">
        <v>3557</v>
      </c>
    </row>
    <row r="3474" spans="2:3" x14ac:dyDescent="0.3">
      <c r="B3474" s="179">
        <v>2486</v>
      </c>
      <c r="C3474" s="175" t="s">
        <v>3558</v>
      </c>
    </row>
    <row r="3475" spans="2:3" x14ac:dyDescent="0.3">
      <c r="B3475" s="179">
        <v>2511</v>
      </c>
      <c r="C3475" s="175" t="s">
        <v>3559</v>
      </c>
    </row>
    <row r="3476" spans="2:3" x14ac:dyDescent="0.3">
      <c r="B3476" s="179">
        <v>2689</v>
      </c>
      <c r="C3476" s="175" t="s">
        <v>3560</v>
      </c>
    </row>
    <row r="3477" spans="2:3" x14ac:dyDescent="0.3">
      <c r="B3477" s="179">
        <v>2799</v>
      </c>
      <c r="C3477" s="175" t="s">
        <v>3561</v>
      </c>
    </row>
    <row r="3478" spans="2:3" x14ac:dyDescent="0.3">
      <c r="B3478" s="179">
        <v>3689</v>
      </c>
      <c r="C3478" s="175" t="s">
        <v>3562</v>
      </c>
    </row>
    <row r="3479" spans="2:3" x14ac:dyDescent="0.3">
      <c r="B3479" s="179">
        <v>4221</v>
      </c>
      <c r="C3479" s="175" t="s">
        <v>3563</v>
      </c>
    </row>
    <row r="3480" spans="2:3" x14ac:dyDescent="0.3">
      <c r="B3480" s="179">
        <v>4711</v>
      </c>
      <c r="C3480" s="175" t="s">
        <v>3564</v>
      </c>
    </row>
    <row r="3481" spans="2:3" x14ac:dyDescent="0.3">
      <c r="B3481" s="179">
        <v>5614</v>
      </c>
      <c r="C3481" s="175" t="s">
        <v>3565</v>
      </c>
    </row>
    <row r="3482" spans="2:3" x14ac:dyDescent="0.3">
      <c r="B3482" s="179">
        <v>6064</v>
      </c>
      <c r="C3482" s="175" t="s">
        <v>3566</v>
      </c>
    </row>
    <row r="3483" spans="2:3" x14ac:dyDescent="0.3">
      <c r="B3483" s="179">
        <v>6107</v>
      </c>
      <c r="C3483" s="175" t="s">
        <v>3567</v>
      </c>
    </row>
    <row r="3484" spans="2:3" x14ac:dyDescent="0.3">
      <c r="B3484" s="179">
        <v>16885</v>
      </c>
      <c r="C3484" s="175" t="s">
        <v>3568</v>
      </c>
    </row>
    <row r="3485" spans="2:3" x14ac:dyDescent="0.3">
      <c r="B3485" s="179">
        <v>16886</v>
      </c>
      <c r="C3485" s="175" t="s">
        <v>3569</v>
      </c>
    </row>
    <row r="3486" spans="2:3" x14ac:dyDescent="0.3">
      <c r="B3486" s="179">
        <v>18571</v>
      </c>
      <c r="C3486" s="175" t="s">
        <v>3570</v>
      </c>
    </row>
    <row r="3487" spans="2:3" x14ac:dyDescent="0.3">
      <c r="B3487" s="179">
        <v>20432</v>
      </c>
      <c r="C3487" s="175" t="s">
        <v>3571</v>
      </c>
    </row>
    <row r="3488" spans="2:3" x14ac:dyDescent="0.3">
      <c r="B3488" s="179">
        <v>20436</v>
      </c>
      <c r="C3488" s="175" t="s">
        <v>3572</v>
      </c>
    </row>
    <row r="3489" spans="2:3" x14ac:dyDescent="0.3">
      <c r="B3489" s="179">
        <v>24202</v>
      </c>
      <c r="C3489" s="175" t="s">
        <v>3573</v>
      </c>
    </row>
    <row r="3490" spans="2:3" x14ac:dyDescent="0.3">
      <c r="B3490" s="179">
        <v>26073</v>
      </c>
      <c r="C3490" s="175" t="s">
        <v>3574</v>
      </c>
    </row>
    <row r="3491" spans="2:3" x14ac:dyDescent="0.3">
      <c r="B3491" s="179">
        <v>30653</v>
      </c>
      <c r="C3491" s="175" t="s">
        <v>3575</v>
      </c>
    </row>
    <row r="3492" spans="2:3" x14ac:dyDescent="0.3">
      <c r="B3492" s="179">
        <v>31874</v>
      </c>
      <c r="C3492" s="175" t="s">
        <v>3576</v>
      </c>
    </row>
    <row r="3493" spans="2:3" x14ac:dyDescent="0.3">
      <c r="B3493" s="179">
        <v>31976</v>
      </c>
      <c r="C3493" s="175" t="s">
        <v>3577</v>
      </c>
    </row>
    <row r="3494" spans="2:3" x14ac:dyDescent="0.3">
      <c r="B3494" s="179">
        <v>37837</v>
      </c>
      <c r="C3494" s="175" t="s">
        <v>3578</v>
      </c>
    </row>
    <row r="3495" spans="2:3" x14ac:dyDescent="0.3">
      <c r="B3495" s="179">
        <v>39233</v>
      </c>
      <c r="C3495" s="175" t="s">
        <v>3579</v>
      </c>
    </row>
    <row r="3496" spans="2:3" x14ac:dyDescent="0.3">
      <c r="B3496" s="179">
        <v>42081</v>
      </c>
      <c r="C3496" s="175" t="s">
        <v>3580</v>
      </c>
    </row>
    <row r="3497" spans="2:3" x14ac:dyDescent="0.3">
      <c r="B3497" s="179">
        <v>43460</v>
      </c>
      <c r="C3497" s="175" t="s">
        <v>3581</v>
      </c>
    </row>
    <row r="3498" spans="2:3" x14ac:dyDescent="0.3">
      <c r="B3498" s="179">
        <v>50093</v>
      </c>
      <c r="C3498" s="175" t="s">
        <v>3582</v>
      </c>
    </row>
    <row r="3499" spans="2:3" x14ac:dyDescent="0.3">
      <c r="B3499" s="179">
        <v>61231</v>
      </c>
      <c r="C3499" s="175" t="s">
        <v>3583</v>
      </c>
    </row>
    <row r="3500" spans="2:3" x14ac:dyDescent="0.3">
      <c r="B3500" s="179">
        <v>72429</v>
      </c>
      <c r="C3500" s="175" t="s">
        <v>3584</v>
      </c>
    </row>
    <row r="3501" spans="2:3" x14ac:dyDescent="0.3">
      <c r="B3501" s="179">
        <v>73594</v>
      </c>
      <c r="C3501" s="175" t="s">
        <v>3585</v>
      </c>
    </row>
    <row r="3502" spans="2:3" x14ac:dyDescent="0.3">
      <c r="B3502" s="179">
        <v>75048</v>
      </c>
      <c r="C3502" s="175" t="s">
        <v>3586</v>
      </c>
    </row>
    <row r="3503" spans="2:3" x14ac:dyDescent="0.3">
      <c r="B3503" s="179">
        <v>75253</v>
      </c>
      <c r="C3503" s="175" t="s">
        <v>3587</v>
      </c>
    </row>
    <row r="3504" spans="2:3" x14ac:dyDescent="0.3">
      <c r="B3504" s="179">
        <v>77546</v>
      </c>
      <c r="C3504" s="175" t="s">
        <v>3588</v>
      </c>
    </row>
    <row r="3505" spans="2:3" x14ac:dyDescent="0.3">
      <c r="B3505" s="179">
        <v>84643</v>
      </c>
      <c r="C3505" s="175" t="s">
        <v>3589</v>
      </c>
    </row>
    <row r="3506" spans="2:3" x14ac:dyDescent="0.3">
      <c r="B3506" s="179">
        <v>85951</v>
      </c>
      <c r="C3506" s="175" t="s">
        <v>3590</v>
      </c>
    </row>
    <row r="3507" spans="2:3" x14ac:dyDescent="0.3">
      <c r="B3507" s="179">
        <v>81670</v>
      </c>
      <c r="C3507" s="175" t="s">
        <v>3591</v>
      </c>
    </row>
    <row r="3508" spans="2:3" x14ac:dyDescent="0.3">
      <c r="B3508" s="179">
        <v>87792</v>
      </c>
      <c r="C3508" s="175" t="s">
        <v>3592</v>
      </c>
    </row>
    <row r="3509" spans="2:3" x14ac:dyDescent="0.3">
      <c r="B3509" s="179">
        <v>87827</v>
      </c>
      <c r="C3509" s="175" t="s">
        <v>3593</v>
      </c>
    </row>
    <row r="3510" spans="2:3" x14ac:dyDescent="0.3">
      <c r="B3510" s="179">
        <v>90152</v>
      </c>
      <c r="C3510" s="175" t="s">
        <v>3594</v>
      </c>
    </row>
    <row r="3511" spans="2:3" x14ac:dyDescent="0.3">
      <c r="B3511" s="179">
        <v>1980</v>
      </c>
      <c r="C3511" s="175" t="s">
        <v>3595</v>
      </c>
    </row>
    <row r="3512" spans="2:3" x14ac:dyDescent="0.3">
      <c r="B3512" s="179">
        <v>2037</v>
      </c>
      <c r="C3512" s="175" t="s">
        <v>3596</v>
      </c>
    </row>
    <row r="3513" spans="2:3" x14ac:dyDescent="0.3">
      <c r="B3513" s="179">
        <v>2541</v>
      </c>
      <c r="C3513" s="175" t="s">
        <v>3597</v>
      </c>
    </row>
    <row r="3514" spans="2:3" x14ac:dyDescent="0.3">
      <c r="B3514" s="179">
        <v>3753</v>
      </c>
      <c r="C3514" s="175" t="s">
        <v>3598</v>
      </c>
    </row>
    <row r="3515" spans="2:3" x14ac:dyDescent="0.3">
      <c r="B3515" s="179">
        <v>4684</v>
      </c>
      <c r="C3515" s="175" t="s">
        <v>3599</v>
      </c>
    </row>
    <row r="3516" spans="2:3" x14ac:dyDescent="0.3">
      <c r="B3516" s="179">
        <v>4907</v>
      </c>
      <c r="C3516" s="175" t="s">
        <v>3600</v>
      </c>
    </row>
    <row r="3517" spans="2:3" x14ac:dyDescent="0.3">
      <c r="B3517" s="179">
        <v>5191</v>
      </c>
      <c r="C3517" s="175" t="s">
        <v>3601</v>
      </c>
    </row>
    <row r="3518" spans="2:3" x14ac:dyDescent="0.3">
      <c r="B3518" s="179">
        <v>5226</v>
      </c>
      <c r="C3518" s="175" t="s">
        <v>3602</v>
      </c>
    </row>
    <row r="3519" spans="2:3" x14ac:dyDescent="0.3">
      <c r="B3519" s="179">
        <v>5255</v>
      </c>
      <c r="C3519" s="175" t="s">
        <v>3603</v>
      </c>
    </row>
    <row r="3520" spans="2:3" x14ac:dyDescent="0.3">
      <c r="B3520" s="179">
        <v>5390</v>
      </c>
      <c r="C3520" s="175" t="s">
        <v>3604</v>
      </c>
    </row>
    <row r="3521" spans="2:3" x14ac:dyDescent="0.3">
      <c r="B3521" s="179">
        <v>5750</v>
      </c>
      <c r="C3521" s="175" t="s">
        <v>3605</v>
      </c>
    </row>
    <row r="3522" spans="2:3" x14ac:dyDescent="0.3">
      <c r="B3522" s="179">
        <v>5871</v>
      </c>
      <c r="C3522" s="175" t="s">
        <v>3606</v>
      </c>
    </row>
    <row r="3523" spans="2:3" x14ac:dyDescent="0.3">
      <c r="B3523" s="179">
        <v>7311</v>
      </c>
      <c r="C3523" s="175" t="s">
        <v>3607</v>
      </c>
    </row>
    <row r="3524" spans="2:3" x14ac:dyDescent="0.3">
      <c r="B3524" s="179">
        <v>10250</v>
      </c>
      <c r="C3524" s="175" t="s">
        <v>3608</v>
      </c>
    </row>
    <row r="3525" spans="2:3" x14ac:dyDescent="0.3">
      <c r="B3525" s="179">
        <v>10253</v>
      </c>
      <c r="C3525" s="175" t="s">
        <v>3609</v>
      </c>
    </row>
    <row r="3526" spans="2:3" x14ac:dyDescent="0.3">
      <c r="B3526" s="179">
        <v>11190</v>
      </c>
      <c r="C3526" s="175" t="s">
        <v>3610</v>
      </c>
    </row>
    <row r="3527" spans="2:3" x14ac:dyDescent="0.3">
      <c r="B3527" s="179">
        <v>12007</v>
      </c>
      <c r="C3527" s="175" t="s">
        <v>3611</v>
      </c>
    </row>
    <row r="3528" spans="2:3" x14ac:dyDescent="0.3">
      <c r="B3528" s="179">
        <v>12390</v>
      </c>
      <c r="C3528" s="175" t="s">
        <v>3612</v>
      </c>
    </row>
    <row r="3529" spans="2:3" x14ac:dyDescent="0.3">
      <c r="B3529" s="179">
        <v>12839</v>
      </c>
      <c r="C3529" s="175" t="s">
        <v>3613</v>
      </c>
    </row>
    <row r="3530" spans="2:3" x14ac:dyDescent="0.3">
      <c r="B3530" s="179">
        <v>34663</v>
      </c>
      <c r="C3530" s="175" t="s">
        <v>3614</v>
      </c>
    </row>
    <row r="3531" spans="2:3" x14ac:dyDescent="0.3">
      <c r="B3531" s="179">
        <v>41582</v>
      </c>
      <c r="C3531" s="175" t="s">
        <v>3615</v>
      </c>
    </row>
    <row r="3532" spans="2:3" x14ac:dyDescent="0.3">
      <c r="B3532" s="179">
        <v>53887</v>
      </c>
      <c r="C3532" s="175" t="s">
        <v>3616</v>
      </c>
    </row>
    <row r="3533" spans="2:3" x14ac:dyDescent="0.3">
      <c r="B3533" s="179">
        <v>69039</v>
      </c>
      <c r="C3533" s="175" t="s">
        <v>3617</v>
      </c>
    </row>
    <row r="3534" spans="2:3" x14ac:dyDescent="0.3">
      <c r="B3534" s="179">
        <v>89295</v>
      </c>
      <c r="C3534" s="175" t="s">
        <v>3618</v>
      </c>
    </row>
    <row r="3535" spans="2:3" x14ac:dyDescent="0.3">
      <c r="B3535" s="179">
        <v>89296</v>
      </c>
      <c r="C3535" s="175" t="s">
        <v>3619</v>
      </c>
    </row>
    <row r="3536" spans="2:3" x14ac:dyDescent="0.3">
      <c r="B3536" s="179">
        <v>89760</v>
      </c>
      <c r="C3536" s="175" t="s">
        <v>3620</v>
      </c>
    </row>
    <row r="3537" spans="2:3" x14ac:dyDescent="0.3">
      <c r="B3537" s="179">
        <v>89762</v>
      </c>
      <c r="C3537" s="175" t="s">
        <v>3621</v>
      </c>
    </row>
    <row r="3538" spans="2:3" x14ac:dyDescent="0.3">
      <c r="B3538" s="179">
        <v>89786</v>
      </c>
      <c r="C3538" s="175" t="s">
        <v>3622</v>
      </c>
    </row>
    <row r="3539" spans="2:3" x14ac:dyDescent="0.3">
      <c r="B3539" s="179">
        <v>90025</v>
      </c>
      <c r="C3539" s="175" t="s">
        <v>3623</v>
      </c>
    </row>
    <row r="3540" spans="2:3" x14ac:dyDescent="0.3">
      <c r="B3540" s="179">
        <v>90163</v>
      </c>
      <c r="C3540" s="175" t="s">
        <v>3624</v>
      </c>
    </row>
    <row r="3541" spans="2:3" x14ac:dyDescent="0.3">
      <c r="B3541" s="179">
        <v>90278</v>
      </c>
      <c r="C3541" s="175" t="s">
        <v>3625</v>
      </c>
    </row>
    <row r="3542" spans="2:3" x14ac:dyDescent="0.3">
      <c r="B3542" s="179">
        <v>90623</v>
      </c>
      <c r="C3542" s="175" t="s">
        <v>3626</v>
      </c>
    </row>
    <row r="3543" spans="2:3" x14ac:dyDescent="0.3">
      <c r="B3543" s="179">
        <v>91008</v>
      </c>
      <c r="C3543" s="175" t="s">
        <v>3627</v>
      </c>
    </row>
    <row r="3544" spans="2:3" x14ac:dyDescent="0.3">
      <c r="B3544" s="179">
        <v>91053</v>
      </c>
      <c r="C3544" s="175" t="s">
        <v>3628</v>
      </c>
    </row>
    <row r="3545" spans="2:3" x14ac:dyDescent="0.3">
      <c r="B3545" s="179">
        <v>100513</v>
      </c>
      <c r="C3545" s="175" t="s">
        <v>3629</v>
      </c>
    </row>
    <row r="3546" spans="2:3" x14ac:dyDescent="0.3">
      <c r="B3546" s="179">
        <v>100515</v>
      </c>
      <c r="C3546" s="175" t="s">
        <v>3630</v>
      </c>
    </row>
    <row r="3547" spans="2:3" x14ac:dyDescent="0.3">
      <c r="B3547" s="179">
        <v>100956</v>
      </c>
      <c r="C3547" s="175" t="s">
        <v>3631</v>
      </c>
    </row>
    <row r="3548" spans="2:3" x14ac:dyDescent="0.3">
      <c r="B3548" s="179">
        <v>101122</v>
      </c>
      <c r="C3548" s="175" t="s">
        <v>3632</v>
      </c>
    </row>
    <row r="3549" spans="2:3" x14ac:dyDescent="0.3">
      <c r="B3549" s="179">
        <v>101170</v>
      </c>
      <c r="C3549" s="175" t="s">
        <v>3633</v>
      </c>
    </row>
    <row r="3550" spans="2:3" x14ac:dyDescent="0.3">
      <c r="B3550" s="179">
        <v>101307</v>
      </c>
      <c r="C3550" s="175" t="s">
        <v>3634</v>
      </c>
    </row>
    <row r="3551" spans="2:3" x14ac:dyDescent="0.3">
      <c r="B3551" s="179">
        <v>87184</v>
      </c>
      <c r="C3551" s="175" t="s">
        <v>3635</v>
      </c>
    </row>
    <row r="3552" spans="2:3" x14ac:dyDescent="0.3">
      <c r="B3552" s="179">
        <v>87189</v>
      </c>
      <c r="C3552" s="175" t="s">
        <v>3636</v>
      </c>
    </row>
    <row r="3553" spans="2:3" x14ac:dyDescent="0.3">
      <c r="B3553" s="179">
        <v>87290</v>
      </c>
      <c r="C3553" s="175" t="s">
        <v>3637</v>
      </c>
    </row>
    <row r="3554" spans="2:3" x14ac:dyDescent="0.3">
      <c r="B3554" s="179">
        <v>87313</v>
      </c>
      <c r="C3554" s="175" t="s">
        <v>3638</v>
      </c>
    </row>
    <row r="3555" spans="2:3" x14ac:dyDescent="0.3">
      <c r="B3555" s="179">
        <v>87413</v>
      </c>
      <c r="C3555" s="175" t="s">
        <v>3639</v>
      </c>
    </row>
    <row r="3556" spans="2:3" x14ac:dyDescent="0.3">
      <c r="B3556" s="179">
        <v>88874</v>
      </c>
      <c r="C3556" s="175" t="s">
        <v>3640</v>
      </c>
    </row>
    <row r="3557" spans="2:3" x14ac:dyDescent="0.3">
      <c r="B3557" s="179">
        <v>89293</v>
      </c>
      <c r="C3557" s="175" t="s">
        <v>3641</v>
      </c>
    </row>
    <row r="3558" spans="2:3" x14ac:dyDescent="0.3">
      <c r="B3558" s="179">
        <v>89625</v>
      </c>
      <c r="C3558" s="175" t="s">
        <v>3642</v>
      </c>
    </row>
    <row r="3559" spans="2:3" x14ac:dyDescent="0.3">
      <c r="B3559" s="179">
        <v>86547</v>
      </c>
      <c r="C3559" s="175" t="s">
        <v>3643</v>
      </c>
    </row>
    <row r="3560" spans="2:3" x14ac:dyDescent="0.3">
      <c r="B3560" s="179">
        <v>90264</v>
      </c>
      <c r="C3560" s="175" t="s">
        <v>3644</v>
      </c>
    </row>
    <row r="3561" spans="2:3" x14ac:dyDescent="0.3">
      <c r="B3561" s="179">
        <v>90526</v>
      </c>
      <c r="C3561" s="175" t="s">
        <v>3645</v>
      </c>
    </row>
    <row r="3562" spans="2:3" x14ac:dyDescent="0.3">
      <c r="B3562" s="179">
        <v>90595</v>
      </c>
      <c r="C3562" s="175" t="s">
        <v>3646</v>
      </c>
    </row>
    <row r="3563" spans="2:3" x14ac:dyDescent="0.3">
      <c r="B3563" s="179">
        <v>1951</v>
      </c>
      <c r="C3563" s="175" t="s">
        <v>3647</v>
      </c>
    </row>
    <row r="3564" spans="2:3" x14ac:dyDescent="0.3">
      <c r="B3564" s="179">
        <v>3391</v>
      </c>
      <c r="C3564" s="175" t="s">
        <v>3648</v>
      </c>
    </row>
    <row r="3565" spans="2:3" x14ac:dyDescent="0.3">
      <c r="B3565" s="179">
        <v>4481</v>
      </c>
      <c r="C3565" s="175" t="s">
        <v>3649</v>
      </c>
    </row>
    <row r="3566" spans="2:3" x14ac:dyDescent="0.3">
      <c r="B3566" s="179">
        <v>4746</v>
      </c>
      <c r="C3566" s="175" t="s">
        <v>3650</v>
      </c>
    </row>
    <row r="3567" spans="2:3" x14ac:dyDescent="0.3">
      <c r="B3567" s="179">
        <v>5738</v>
      </c>
      <c r="C3567" s="175" t="s">
        <v>3651</v>
      </c>
    </row>
    <row r="3568" spans="2:3" x14ac:dyDescent="0.3">
      <c r="B3568" s="179">
        <v>7615</v>
      </c>
      <c r="C3568" s="175" t="s">
        <v>3652</v>
      </c>
    </row>
    <row r="3569" spans="2:3" x14ac:dyDescent="0.3">
      <c r="B3569" s="179">
        <v>31019</v>
      </c>
      <c r="C3569" s="175" t="s">
        <v>3653</v>
      </c>
    </row>
    <row r="3570" spans="2:3" x14ac:dyDescent="0.3">
      <c r="B3570" s="179">
        <v>43459</v>
      </c>
      <c r="C3570" s="175" t="s">
        <v>3654</v>
      </c>
    </row>
    <row r="3571" spans="2:3" x14ac:dyDescent="0.3">
      <c r="B3571" s="179">
        <v>67362</v>
      </c>
      <c r="C3571" s="175" t="s">
        <v>3655</v>
      </c>
    </row>
    <row r="3572" spans="2:3" x14ac:dyDescent="0.3">
      <c r="B3572" s="179">
        <v>70126</v>
      </c>
      <c r="C3572" s="175" t="s">
        <v>3656</v>
      </c>
    </row>
    <row r="3573" spans="2:3" x14ac:dyDescent="0.3">
      <c r="B3573" s="179">
        <v>70511</v>
      </c>
      <c r="C3573" s="175" t="s">
        <v>3657</v>
      </c>
    </row>
    <row r="3574" spans="2:3" x14ac:dyDescent="0.3">
      <c r="B3574" s="179">
        <v>74099</v>
      </c>
      <c r="C3574" s="175" t="s">
        <v>3658</v>
      </c>
    </row>
    <row r="3575" spans="2:3" x14ac:dyDescent="0.3">
      <c r="B3575" s="179">
        <v>75703</v>
      </c>
      <c r="C3575" s="175" t="s">
        <v>3659</v>
      </c>
    </row>
    <row r="3576" spans="2:3" x14ac:dyDescent="0.3">
      <c r="B3576" s="179">
        <v>4855</v>
      </c>
      <c r="C3576" s="175" t="s">
        <v>3660</v>
      </c>
    </row>
    <row r="3577" spans="2:3" x14ac:dyDescent="0.3">
      <c r="B3577" s="179">
        <v>88673</v>
      </c>
      <c r="C3577" s="175" t="s">
        <v>3661</v>
      </c>
    </row>
    <row r="3578" spans="2:3" x14ac:dyDescent="0.3">
      <c r="B3578" s="179">
        <v>40562</v>
      </c>
      <c r="C3578" s="175" t="s">
        <v>3662</v>
      </c>
    </row>
    <row r="3579" spans="2:3" x14ac:dyDescent="0.3">
      <c r="B3579" s="179">
        <v>71483</v>
      </c>
      <c r="C3579" s="175" t="s">
        <v>3663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ANALISA</vt:lpstr>
      <vt:lpstr>NIK KASIR</vt:lpstr>
      <vt:lpstr>INCOME EXPENSE</vt:lpstr>
      <vt:lpstr>SHORTAGE</vt:lpstr>
      <vt:lpstr>RK</vt:lpstr>
      <vt:lpstr>BDEPO</vt:lpstr>
      <vt:lpstr>statement</vt:lpstr>
      <vt:lpstr>KARY</vt:lpstr>
      <vt:lpstr>ANALISA!Print_Area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Bangun</dc:creator>
  <cp:lastModifiedBy>Sadewo Putra Dwiandanto</cp:lastModifiedBy>
  <dcterms:created xsi:type="dcterms:W3CDTF">2023-06-09T06:48:38Z</dcterms:created>
  <dcterms:modified xsi:type="dcterms:W3CDTF">2026-09-08T09:11:20Z</dcterms:modified>
</cp:coreProperties>
</file>